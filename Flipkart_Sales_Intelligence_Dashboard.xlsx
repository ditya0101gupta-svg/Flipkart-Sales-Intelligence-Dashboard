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438dacc6f7baaa/Desktop/EXCEL SKILLCURE ACADEMY/"/>
    </mc:Choice>
  </mc:AlternateContent>
  <xr:revisionPtr revIDLastSave="0" documentId="13_ncr:20001_{6A12E1B8-B253-46B7-AC29-1B2D6AF112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ecutive Dashboard" sheetId="1" r:id="rId1"/>
    <sheet name="Analysis" sheetId="2" r:id="rId2"/>
    <sheet name="Sales Data" sheetId="3" r:id="rId3"/>
    <sheet name="Formula Guide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B8" i="4"/>
  <c r="B6" i="4"/>
  <c r="B5" i="4"/>
  <c r="O1001" i="3"/>
  <c r="K1001" i="3"/>
  <c r="M1001" i="3" s="1"/>
  <c r="N1001" i="3" s="1"/>
  <c r="P1001" i="3" s="1"/>
  <c r="Q1001" i="3" s="1"/>
  <c r="O1000" i="3"/>
  <c r="M1000" i="3"/>
  <c r="N1000" i="3" s="1"/>
  <c r="P1000" i="3" s="1"/>
  <c r="Q1000" i="3" s="1"/>
  <c r="K1000" i="3"/>
  <c r="O999" i="3"/>
  <c r="K999" i="3"/>
  <c r="O998" i="3"/>
  <c r="M998" i="3"/>
  <c r="K998" i="3"/>
  <c r="O997" i="3"/>
  <c r="K997" i="3"/>
  <c r="O996" i="3"/>
  <c r="K996" i="3"/>
  <c r="O995" i="3"/>
  <c r="N995" i="3"/>
  <c r="P995" i="3" s="1"/>
  <c r="Q995" i="3" s="1"/>
  <c r="K995" i="3"/>
  <c r="M995" i="3" s="1"/>
  <c r="O994" i="3"/>
  <c r="K994" i="3"/>
  <c r="M994" i="3" s="1"/>
  <c r="O993" i="3"/>
  <c r="N993" i="3"/>
  <c r="P993" i="3" s="1"/>
  <c r="Q993" i="3" s="1"/>
  <c r="K993" i="3"/>
  <c r="M993" i="3" s="1"/>
  <c r="O992" i="3"/>
  <c r="M992" i="3"/>
  <c r="N992" i="3" s="1"/>
  <c r="P992" i="3" s="1"/>
  <c r="Q992" i="3" s="1"/>
  <c r="K992" i="3"/>
  <c r="Q991" i="3"/>
  <c r="O991" i="3"/>
  <c r="N991" i="3"/>
  <c r="P991" i="3" s="1"/>
  <c r="K991" i="3"/>
  <c r="M991" i="3" s="1"/>
  <c r="O990" i="3"/>
  <c r="K990" i="3"/>
  <c r="O989" i="3"/>
  <c r="M989" i="3"/>
  <c r="K989" i="3"/>
  <c r="O988" i="3"/>
  <c r="M988" i="3"/>
  <c r="K988" i="3"/>
  <c r="O987" i="3"/>
  <c r="N987" i="3"/>
  <c r="P987" i="3" s="1"/>
  <c r="Q987" i="3" s="1"/>
  <c r="M987" i="3"/>
  <c r="K987" i="3"/>
  <c r="O986" i="3"/>
  <c r="K986" i="3"/>
  <c r="M986" i="3" s="1"/>
  <c r="P985" i="3"/>
  <c r="Q985" i="3" s="1"/>
  <c r="O985" i="3"/>
  <c r="N985" i="3"/>
  <c r="K985" i="3"/>
  <c r="M985" i="3" s="1"/>
  <c r="O984" i="3"/>
  <c r="N984" i="3"/>
  <c r="P984" i="3" s="1"/>
  <c r="Q984" i="3" s="1"/>
  <c r="M984" i="3"/>
  <c r="K984" i="3"/>
  <c r="O983" i="3"/>
  <c r="P983" i="3" s="1"/>
  <c r="Q983" i="3" s="1"/>
  <c r="M983" i="3"/>
  <c r="K983" i="3"/>
  <c r="N983" i="3" s="1"/>
  <c r="O982" i="3"/>
  <c r="K982" i="3"/>
  <c r="O981" i="3"/>
  <c r="M981" i="3"/>
  <c r="K981" i="3"/>
  <c r="O980" i="3"/>
  <c r="K980" i="3"/>
  <c r="O979" i="3"/>
  <c r="K979" i="3"/>
  <c r="O978" i="3"/>
  <c r="M978" i="3"/>
  <c r="K978" i="3"/>
  <c r="O977" i="3"/>
  <c r="N977" i="3"/>
  <c r="P977" i="3" s="1"/>
  <c r="Q977" i="3" s="1"/>
  <c r="K977" i="3"/>
  <c r="M977" i="3" s="1"/>
  <c r="O976" i="3"/>
  <c r="N976" i="3"/>
  <c r="P976" i="3" s="1"/>
  <c r="Q976" i="3" s="1"/>
  <c r="M976" i="3"/>
  <c r="K976" i="3"/>
  <c r="O975" i="3"/>
  <c r="N975" i="3"/>
  <c r="P975" i="3" s="1"/>
  <c r="Q975" i="3" s="1"/>
  <c r="M975" i="3"/>
  <c r="K975" i="3"/>
  <c r="O974" i="3"/>
  <c r="K974" i="3"/>
  <c r="O973" i="3"/>
  <c r="K973" i="3"/>
  <c r="O972" i="3"/>
  <c r="N972" i="3"/>
  <c r="P972" i="3" s="1"/>
  <c r="Q972" i="3" s="1"/>
  <c r="M972" i="3"/>
  <c r="K972" i="3"/>
  <c r="O971" i="3"/>
  <c r="K971" i="3"/>
  <c r="M971" i="3" s="1"/>
  <c r="O970" i="3"/>
  <c r="M970" i="3"/>
  <c r="K970" i="3"/>
  <c r="O969" i="3"/>
  <c r="K969" i="3"/>
  <c r="M969" i="3" s="1"/>
  <c r="N969" i="3" s="1"/>
  <c r="P969" i="3" s="1"/>
  <c r="Q969" i="3" s="1"/>
  <c r="O968" i="3"/>
  <c r="M968" i="3"/>
  <c r="N968" i="3" s="1"/>
  <c r="P968" i="3" s="1"/>
  <c r="Q968" i="3" s="1"/>
  <c r="K968" i="3"/>
  <c r="O967" i="3"/>
  <c r="N967" i="3"/>
  <c r="P967" i="3" s="1"/>
  <c r="Q967" i="3" s="1"/>
  <c r="K967" i="3"/>
  <c r="M967" i="3" s="1"/>
  <c r="O966" i="3"/>
  <c r="K966" i="3"/>
  <c r="O965" i="3"/>
  <c r="K965" i="3"/>
  <c r="O964" i="3"/>
  <c r="N964" i="3"/>
  <c r="P964" i="3" s="1"/>
  <c r="Q964" i="3" s="1"/>
  <c r="M964" i="3"/>
  <c r="K964" i="3"/>
  <c r="O963" i="3"/>
  <c r="K963" i="3"/>
  <c r="O962" i="3"/>
  <c r="K962" i="3"/>
  <c r="P961" i="3"/>
  <c r="Q961" i="3" s="1"/>
  <c r="O961" i="3"/>
  <c r="K961" i="3"/>
  <c r="M961" i="3" s="1"/>
  <c r="N961" i="3" s="1"/>
  <c r="Q960" i="3"/>
  <c r="P960" i="3"/>
  <c r="O960" i="3"/>
  <c r="N960" i="3"/>
  <c r="M960" i="3"/>
  <c r="K960" i="3"/>
  <c r="O959" i="3"/>
  <c r="M959" i="3"/>
  <c r="K959" i="3"/>
  <c r="O958" i="3"/>
  <c r="K958" i="3"/>
  <c r="O957" i="3"/>
  <c r="K957" i="3"/>
  <c r="O956" i="3"/>
  <c r="M956" i="3"/>
  <c r="K956" i="3"/>
  <c r="N956" i="3" s="1"/>
  <c r="O955" i="3"/>
  <c r="K955" i="3"/>
  <c r="O954" i="3"/>
  <c r="N954" i="3"/>
  <c r="P954" i="3" s="1"/>
  <c r="Q954" i="3" s="1"/>
  <c r="M954" i="3"/>
  <c r="K954" i="3"/>
  <c r="P953" i="3"/>
  <c r="Q953" i="3" s="1"/>
  <c r="O953" i="3"/>
  <c r="N953" i="3"/>
  <c r="M953" i="3"/>
  <c r="K953" i="3"/>
  <c r="O952" i="3"/>
  <c r="M952" i="3"/>
  <c r="N952" i="3" s="1"/>
  <c r="P952" i="3" s="1"/>
  <c r="Q952" i="3" s="1"/>
  <c r="K952" i="3"/>
  <c r="O951" i="3"/>
  <c r="M951" i="3"/>
  <c r="K951" i="3"/>
  <c r="O950" i="3"/>
  <c r="M950" i="3"/>
  <c r="K950" i="3"/>
  <c r="O949" i="3"/>
  <c r="K949" i="3"/>
  <c r="O948" i="3"/>
  <c r="K948" i="3"/>
  <c r="O947" i="3"/>
  <c r="M947" i="3"/>
  <c r="K947" i="3"/>
  <c r="N947" i="3" s="1"/>
  <c r="P947" i="3" s="1"/>
  <c r="Q947" i="3" s="1"/>
  <c r="O946" i="3"/>
  <c r="K946" i="3"/>
  <c r="M946" i="3" s="1"/>
  <c r="O945" i="3"/>
  <c r="N945" i="3"/>
  <c r="P945" i="3" s="1"/>
  <c r="Q945" i="3" s="1"/>
  <c r="M945" i="3"/>
  <c r="K945" i="3"/>
  <c r="Q944" i="3"/>
  <c r="O944" i="3"/>
  <c r="M944" i="3"/>
  <c r="N944" i="3" s="1"/>
  <c r="P944" i="3" s="1"/>
  <c r="K944" i="3"/>
  <c r="O943" i="3"/>
  <c r="K943" i="3"/>
  <c r="M943" i="3" s="1"/>
  <c r="O942" i="3"/>
  <c r="M942" i="3"/>
  <c r="K942" i="3"/>
  <c r="O941" i="3"/>
  <c r="K941" i="3"/>
  <c r="O940" i="3"/>
  <c r="K940" i="3"/>
  <c r="M940" i="3" s="1"/>
  <c r="O939" i="3"/>
  <c r="K939" i="3"/>
  <c r="O938" i="3"/>
  <c r="K938" i="3"/>
  <c r="P937" i="3"/>
  <c r="Q937" i="3" s="1"/>
  <c r="O937" i="3"/>
  <c r="N937" i="3"/>
  <c r="M937" i="3"/>
  <c r="K937" i="3"/>
  <c r="O936" i="3"/>
  <c r="M936" i="3"/>
  <c r="N936" i="3" s="1"/>
  <c r="P936" i="3" s="1"/>
  <c r="Q936" i="3" s="1"/>
  <c r="K936" i="3"/>
  <c r="O935" i="3"/>
  <c r="N935" i="3"/>
  <c r="P935" i="3" s="1"/>
  <c r="Q935" i="3" s="1"/>
  <c r="M935" i="3"/>
  <c r="K935" i="3"/>
  <c r="O934" i="3"/>
  <c r="K934" i="3"/>
  <c r="O933" i="3"/>
  <c r="K933" i="3"/>
  <c r="O932" i="3"/>
  <c r="K932" i="3"/>
  <c r="O931" i="3"/>
  <c r="M931" i="3"/>
  <c r="K931" i="3"/>
  <c r="N931" i="3" s="1"/>
  <c r="P931" i="3" s="1"/>
  <c r="Q931" i="3" s="1"/>
  <c r="O930" i="3"/>
  <c r="N930" i="3"/>
  <c r="K930" i="3"/>
  <c r="M930" i="3" s="1"/>
  <c r="O929" i="3"/>
  <c r="N929" i="3"/>
  <c r="M929" i="3"/>
  <c r="K929" i="3"/>
  <c r="O928" i="3"/>
  <c r="N928" i="3"/>
  <c r="P928" i="3" s="1"/>
  <c r="Q928" i="3" s="1"/>
  <c r="M928" i="3"/>
  <c r="K928" i="3"/>
  <c r="O927" i="3"/>
  <c r="M927" i="3"/>
  <c r="N927" i="3" s="1"/>
  <c r="P927" i="3" s="1"/>
  <c r="Q927" i="3" s="1"/>
  <c r="K927" i="3"/>
  <c r="O926" i="3"/>
  <c r="K926" i="3"/>
  <c r="O925" i="3"/>
  <c r="K925" i="3"/>
  <c r="O924" i="3"/>
  <c r="N924" i="3"/>
  <c r="P924" i="3" s="1"/>
  <c r="Q924" i="3" s="1"/>
  <c r="M924" i="3"/>
  <c r="K924" i="3"/>
  <c r="O923" i="3"/>
  <c r="N923" i="3"/>
  <c r="P923" i="3" s="1"/>
  <c r="Q923" i="3" s="1"/>
  <c r="K923" i="3"/>
  <c r="M923" i="3" s="1"/>
  <c r="O922" i="3"/>
  <c r="N922" i="3"/>
  <c r="M922" i="3"/>
  <c r="K922" i="3"/>
  <c r="O921" i="3"/>
  <c r="K921" i="3"/>
  <c r="M921" i="3" s="1"/>
  <c r="N921" i="3" s="1"/>
  <c r="P921" i="3" s="1"/>
  <c r="Q921" i="3" s="1"/>
  <c r="O920" i="3"/>
  <c r="M920" i="3"/>
  <c r="N920" i="3" s="1"/>
  <c r="P920" i="3" s="1"/>
  <c r="Q920" i="3" s="1"/>
  <c r="K920" i="3"/>
  <c r="O919" i="3"/>
  <c r="M919" i="3"/>
  <c r="K919" i="3"/>
  <c r="O918" i="3"/>
  <c r="K918" i="3"/>
  <c r="O917" i="3"/>
  <c r="K917" i="3"/>
  <c r="O916" i="3"/>
  <c r="P916" i="3" s="1"/>
  <c r="Q916" i="3" s="1"/>
  <c r="N916" i="3"/>
  <c r="M916" i="3"/>
  <c r="K916" i="3"/>
  <c r="O915" i="3"/>
  <c r="K915" i="3"/>
  <c r="O914" i="3"/>
  <c r="N914" i="3"/>
  <c r="P914" i="3" s="1"/>
  <c r="Q914" i="3" s="1"/>
  <c r="K914" i="3"/>
  <c r="M914" i="3" s="1"/>
  <c r="O913" i="3"/>
  <c r="K913" i="3"/>
  <c r="M913" i="3" s="1"/>
  <c r="N913" i="3" s="1"/>
  <c r="P913" i="3" s="1"/>
  <c r="Q913" i="3" s="1"/>
  <c r="Q912" i="3"/>
  <c r="O912" i="3"/>
  <c r="N912" i="3"/>
  <c r="P912" i="3" s="1"/>
  <c r="M912" i="3"/>
  <c r="K912" i="3"/>
  <c r="O911" i="3"/>
  <c r="M911" i="3"/>
  <c r="K911" i="3"/>
  <c r="N911" i="3" s="1"/>
  <c r="O910" i="3"/>
  <c r="K910" i="3"/>
  <c r="O909" i="3"/>
  <c r="K909" i="3"/>
  <c r="O908" i="3"/>
  <c r="K908" i="3"/>
  <c r="O907" i="3"/>
  <c r="M907" i="3"/>
  <c r="K907" i="3"/>
  <c r="N907" i="3" s="1"/>
  <c r="P907" i="3" s="1"/>
  <c r="Q907" i="3" s="1"/>
  <c r="O906" i="3"/>
  <c r="N906" i="3"/>
  <c r="P906" i="3" s="1"/>
  <c r="Q906" i="3" s="1"/>
  <c r="M906" i="3"/>
  <c r="K906" i="3"/>
  <c r="O905" i="3"/>
  <c r="N905" i="3"/>
  <c r="P905" i="3" s="1"/>
  <c r="Q905" i="3" s="1"/>
  <c r="K905" i="3"/>
  <c r="M905" i="3" s="1"/>
  <c r="O904" i="3"/>
  <c r="M904" i="3"/>
  <c r="N904" i="3" s="1"/>
  <c r="P904" i="3" s="1"/>
  <c r="Q904" i="3" s="1"/>
  <c r="K904" i="3"/>
  <c r="O903" i="3"/>
  <c r="K903" i="3"/>
  <c r="O902" i="3"/>
  <c r="K902" i="3"/>
  <c r="O901" i="3"/>
  <c r="K901" i="3"/>
  <c r="O900" i="3"/>
  <c r="K900" i="3"/>
  <c r="O899" i="3"/>
  <c r="K899" i="3"/>
  <c r="O898" i="3"/>
  <c r="K898" i="3"/>
  <c r="M898" i="3" s="1"/>
  <c r="O897" i="3"/>
  <c r="N897" i="3"/>
  <c r="P897" i="3" s="1"/>
  <c r="Q897" i="3" s="1"/>
  <c r="M897" i="3"/>
  <c r="K897" i="3"/>
  <c r="Q896" i="3"/>
  <c r="O896" i="3"/>
  <c r="M896" i="3"/>
  <c r="N896" i="3" s="1"/>
  <c r="P896" i="3" s="1"/>
  <c r="K896" i="3"/>
  <c r="O895" i="3"/>
  <c r="N895" i="3"/>
  <c r="P895" i="3" s="1"/>
  <c r="Q895" i="3" s="1"/>
  <c r="K895" i="3"/>
  <c r="M895" i="3" s="1"/>
  <c r="O894" i="3"/>
  <c r="K894" i="3"/>
  <c r="O893" i="3"/>
  <c r="K893" i="3"/>
  <c r="O892" i="3"/>
  <c r="K892" i="3"/>
  <c r="M892" i="3" s="1"/>
  <c r="O891" i="3"/>
  <c r="M891" i="3"/>
  <c r="N891" i="3" s="1"/>
  <c r="P891" i="3" s="1"/>
  <c r="Q891" i="3" s="1"/>
  <c r="K891" i="3"/>
  <c r="O890" i="3"/>
  <c r="M890" i="3"/>
  <c r="K890" i="3"/>
  <c r="O889" i="3"/>
  <c r="N889" i="3"/>
  <c r="P889" i="3" s="1"/>
  <c r="Q889" i="3" s="1"/>
  <c r="M889" i="3"/>
  <c r="K889" i="3"/>
  <c r="O888" i="3"/>
  <c r="N888" i="3"/>
  <c r="P888" i="3" s="1"/>
  <c r="Q888" i="3" s="1"/>
  <c r="M888" i="3"/>
  <c r="K888" i="3"/>
  <c r="O887" i="3"/>
  <c r="M887" i="3"/>
  <c r="N887" i="3" s="1"/>
  <c r="P887" i="3" s="1"/>
  <c r="Q887" i="3" s="1"/>
  <c r="K887" i="3"/>
  <c r="O886" i="3"/>
  <c r="K886" i="3"/>
  <c r="O885" i="3"/>
  <c r="K885" i="3"/>
  <c r="Q884" i="3"/>
  <c r="O884" i="3"/>
  <c r="N884" i="3"/>
  <c r="P884" i="3" s="1"/>
  <c r="K884" i="3"/>
  <c r="M884" i="3" s="1"/>
  <c r="O883" i="3"/>
  <c r="M883" i="3"/>
  <c r="N883" i="3" s="1"/>
  <c r="P883" i="3" s="1"/>
  <c r="Q883" i="3" s="1"/>
  <c r="K883" i="3"/>
  <c r="Q882" i="3"/>
  <c r="O882" i="3"/>
  <c r="N882" i="3"/>
  <c r="P882" i="3" s="1"/>
  <c r="M882" i="3"/>
  <c r="K882" i="3"/>
  <c r="O881" i="3"/>
  <c r="N881" i="3"/>
  <c r="P881" i="3" s="1"/>
  <c r="Q881" i="3" s="1"/>
  <c r="M881" i="3"/>
  <c r="K881" i="3"/>
  <c r="Q880" i="3"/>
  <c r="O880" i="3"/>
  <c r="N880" i="3"/>
  <c r="P880" i="3" s="1"/>
  <c r="M880" i="3"/>
  <c r="K880" i="3"/>
  <c r="O879" i="3"/>
  <c r="M879" i="3"/>
  <c r="K879" i="3"/>
  <c r="O878" i="3"/>
  <c r="K878" i="3"/>
  <c r="O877" i="3"/>
  <c r="K877" i="3"/>
  <c r="O876" i="3"/>
  <c r="M876" i="3"/>
  <c r="K876" i="3"/>
  <c r="O875" i="3"/>
  <c r="N875" i="3"/>
  <c r="P875" i="3" s="1"/>
  <c r="Q875" i="3" s="1"/>
  <c r="M875" i="3"/>
  <c r="K875" i="3"/>
  <c r="O874" i="3"/>
  <c r="K874" i="3"/>
  <c r="P873" i="3"/>
  <c r="Q873" i="3" s="1"/>
  <c r="O873" i="3"/>
  <c r="N873" i="3"/>
  <c r="K873" i="3"/>
  <c r="M873" i="3" s="1"/>
  <c r="O872" i="3"/>
  <c r="M872" i="3"/>
  <c r="N872" i="3" s="1"/>
  <c r="P872" i="3" s="1"/>
  <c r="Q872" i="3" s="1"/>
  <c r="K872" i="3"/>
  <c r="O871" i="3"/>
  <c r="M871" i="3"/>
  <c r="K871" i="3"/>
  <c r="N871" i="3" s="1"/>
  <c r="P871" i="3" s="1"/>
  <c r="Q871" i="3" s="1"/>
  <c r="O870" i="3"/>
  <c r="K870" i="3"/>
  <c r="O869" i="3"/>
  <c r="K869" i="3"/>
  <c r="O868" i="3"/>
  <c r="N868" i="3"/>
  <c r="P868" i="3" s="1"/>
  <c r="Q868" i="3" s="1"/>
  <c r="M868" i="3"/>
  <c r="K868" i="3"/>
  <c r="O867" i="3"/>
  <c r="N867" i="3"/>
  <c r="P867" i="3" s="1"/>
  <c r="Q867" i="3" s="1"/>
  <c r="M867" i="3"/>
  <c r="K867" i="3"/>
  <c r="O866" i="3"/>
  <c r="M866" i="3"/>
  <c r="K866" i="3"/>
  <c r="O865" i="3"/>
  <c r="N865" i="3"/>
  <c r="P865" i="3" s="1"/>
  <c r="Q865" i="3" s="1"/>
  <c r="K865" i="3"/>
  <c r="M865" i="3" s="1"/>
  <c r="O864" i="3"/>
  <c r="M864" i="3"/>
  <c r="N864" i="3" s="1"/>
  <c r="P864" i="3" s="1"/>
  <c r="Q864" i="3" s="1"/>
  <c r="K864" i="3"/>
  <c r="O863" i="3"/>
  <c r="N863" i="3"/>
  <c r="P863" i="3" s="1"/>
  <c r="Q863" i="3" s="1"/>
  <c r="K863" i="3"/>
  <c r="M863" i="3" s="1"/>
  <c r="O862" i="3"/>
  <c r="K862" i="3"/>
  <c r="O861" i="3"/>
  <c r="M861" i="3"/>
  <c r="K861" i="3"/>
  <c r="O860" i="3"/>
  <c r="K860" i="3"/>
  <c r="O859" i="3"/>
  <c r="K859" i="3"/>
  <c r="O858" i="3"/>
  <c r="K858" i="3"/>
  <c r="P857" i="3"/>
  <c r="Q857" i="3" s="1"/>
  <c r="O857" i="3"/>
  <c r="K857" i="3"/>
  <c r="M857" i="3" s="1"/>
  <c r="N857" i="3" s="1"/>
  <c r="P856" i="3"/>
  <c r="Q856" i="3" s="1"/>
  <c r="O856" i="3"/>
  <c r="M856" i="3"/>
  <c r="N856" i="3" s="1"/>
  <c r="K856" i="3"/>
  <c r="O855" i="3"/>
  <c r="N855" i="3"/>
  <c r="P855" i="3" s="1"/>
  <c r="Q855" i="3" s="1"/>
  <c r="M855" i="3"/>
  <c r="K855" i="3"/>
  <c r="O854" i="3"/>
  <c r="M854" i="3"/>
  <c r="K854" i="3"/>
  <c r="O853" i="3"/>
  <c r="K853" i="3"/>
  <c r="O852" i="3"/>
  <c r="M852" i="3"/>
  <c r="N852" i="3" s="1"/>
  <c r="P852" i="3" s="1"/>
  <c r="Q852" i="3" s="1"/>
  <c r="K852" i="3"/>
  <c r="O851" i="3"/>
  <c r="N851" i="3"/>
  <c r="P851" i="3" s="1"/>
  <c r="Q851" i="3" s="1"/>
  <c r="K851" i="3"/>
  <c r="M851" i="3" s="1"/>
  <c r="O850" i="3"/>
  <c r="K850" i="3"/>
  <c r="Q849" i="3"/>
  <c r="O849" i="3"/>
  <c r="N849" i="3"/>
  <c r="P849" i="3" s="1"/>
  <c r="M849" i="3"/>
  <c r="K849" i="3"/>
  <c r="O848" i="3"/>
  <c r="M848" i="3"/>
  <c r="N848" i="3" s="1"/>
  <c r="P848" i="3" s="1"/>
  <c r="Q848" i="3" s="1"/>
  <c r="K848" i="3"/>
  <c r="Q847" i="3"/>
  <c r="O847" i="3"/>
  <c r="N847" i="3"/>
  <c r="P847" i="3" s="1"/>
  <c r="K847" i="3"/>
  <c r="M847" i="3" s="1"/>
  <c r="O846" i="3"/>
  <c r="M846" i="3"/>
  <c r="K846" i="3"/>
  <c r="O845" i="3"/>
  <c r="K845" i="3"/>
  <c r="M845" i="3" s="1"/>
  <c r="O844" i="3"/>
  <c r="K844" i="3"/>
  <c r="M844" i="3" s="1"/>
  <c r="O843" i="3"/>
  <c r="M843" i="3"/>
  <c r="N843" i="3" s="1"/>
  <c r="P843" i="3" s="1"/>
  <c r="Q843" i="3" s="1"/>
  <c r="K843" i="3"/>
  <c r="O842" i="3"/>
  <c r="K842" i="3"/>
  <c r="O841" i="3"/>
  <c r="K841" i="3"/>
  <c r="M841" i="3" s="1"/>
  <c r="N841" i="3" s="1"/>
  <c r="P841" i="3" s="1"/>
  <c r="Q841" i="3" s="1"/>
  <c r="O840" i="3"/>
  <c r="M840" i="3"/>
  <c r="N840" i="3" s="1"/>
  <c r="P840" i="3" s="1"/>
  <c r="Q840" i="3" s="1"/>
  <c r="K840" i="3"/>
  <c r="O839" i="3"/>
  <c r="K839" i="3"/>
  <c r="O838" i="3"/>
  <c r="K838" i="3"/>
  <c r="O837" i="3"/>
  <c r="K837" i="3"/>
  <c r="O836" i="3"/>
  <c r="M836" i="3"/>
  <c r="K836" i="3"/>
  <c r="O835" i="3"/>
  <c r="K835" i="3"/>
  <c r="O834" i="3"/>
  <c r="M834" i="3"/>
  <c r="N834" i="3" s="1"/>
  <c r="P834" i="3" s="1"/>
  <c r="Q834" i="3" s="1"/>
  <c r="K834" i="3"/>
  <c r="O833" i="3"/>
  <c r="N833" i="3"/>
  <c r="P833" i="3" s="1"/>
  <c r="Q833" i="3" s="1"/>
  <c r="K833" i="3"/>
  <c r="M833" i="3" s="1"/>
  <c r="O832" i="3"/>
  <c r="M832" i="3"/>
  <c r="N832" i="3" s="1"/>
  <c r="P832" i="3" s="1"/>
  <c r="Q832" i="3" s="1"/>
  <c r="K832" i="3"/>
  <c r="O831" i="3"/>
  <c r="M831" i="3"/>
  <c r="N831" i="3" s="1"/>
  <c r="P831" i="3" s="1"/>
  <c r="Q831" i="3" s="1"/>
  <c r="K831" i="3"/>
  <c r="O830" i="3"/>
  <c r="K830" i="3"/>
  <c r="O829" i="3"/>
  <c r="K829" i="3"/>
  <c r="O828" i="3"/>
  <c r="K828" i="3"/>
  <c r="O827" i="3"/>
  <c r="M827" i="3"/>
  <c r="N827" i="3" s="1"/>
  <c r="P827" i="3" s="1"/>
  <c r="Q827" i="3" s="1"/>
  <c r="K827" i="3"/>
  <c r="O826" i="3"/>
  <c r="K826" i="3"/>
  <c r="O825" i="3"/>
  <c r="K825" i="3"/>
  <c r="M825" i="3" s="1"/>
  <c r="N825" i="3" s="1"/>
  <c r="P825" i="3" s="1"/>
  <c r="Q825" i="3" s="1"/>
  <c r="O824" i="3"/>
  <c r="M824" i="3"/>
  <c r="N824" i="3" s="1"/>
  <c r="P824" i="3" s="1"/>
  <c r="Q824" i="3" s="1"/>
  <c r="K824" i="3"/>
  <c r="O823" i="3"/>
  <c r="K823" i="3"/>
  <c r="O822" i="3"/>
  <c r="K822" i="3"/>
  <c r="O821" i="3"/>
  <c r="M821" i="3"/>
  <c r="K821" i="3"/>
  <c r="O820" i="3"/>
  <c r="K820" i="3"/>
  <c r="O819" i="3"/>
  <c r="N819" i="3"/>
  <c r="P819" i="3" s="1"/>
  <c r="Q819" i="3" s="1"/>
  <c r="K819" i="3"/>
  <c r="M819" i="3" s="1"/>
  <c r="O818" i="3"/>
  <c r="M818" i="3"/>
  <c r="K818" i="3"/>
  <c r="O817" i="3"/>
  <c r="K817" i="3"/>
  <c r="M817" i="3" s="1"/>
  <c r="N817" i="3" s="1"/>
  <c r="O816" i="3"/>
  <c r="M816" i="3"/>
  <c r="N816" i="3" s="1"/>
  <c r="P816" i="3" s="1"/>
  <c r="Q816" i="3" s="1"/>
  <c r="K816" i="3"/>
  <c r="O815" i="3"/>
  <c r="N815" i="3"/>
  <c r="P815" i="3" s="1"/>
  <c r="Q815" i="3" s="1"/>
  <c r="M815" i="3"/>
  <c r="K815" i="3"/>
  <c r="O814" i="3"/>
  <c r="M814" i="3"/>
  <c r="K814" i="3"/>
  <c r="O813" i="3"/>
  <c r="M813" i="3"/>
  <c r="K813" i="3"/>
  <c r="O812" i="3"/>
  <c r="M812" i="3"/>
  <c r="N812" i="3" s="1"/>
  <c r="P812" i="3" s="1"/>
  <c r="Q812" i="3" s="1"/>
  <c r="K812" i="3"/>
  <c r="O811" i="3"/>
  <c r="N811" i="3"/>
  <c r="P811" i="3" s="1"/>
  <c r="Q811" i="3" s="1"/>
  <c r="K811" i="3"/>
  <c r="M811" i="3" s="1"/>
  <c r="O810" i="3"/>
  <c r="K810" i="3"/>
  <c r="P809" i="3"/>
  <c r="Q809" i="3" s="1"/>
  <c r="O809" i="3"/>
  <c r="K809" i="3"/>
  <c r="M809" i="3" s="1"/>
  <c r="N809" i="3" s="1"/>
  <c r="Q808" i="3"/>
  <c r="O808" i="3"/>
  <c r="N808" i="3"/>
  <c r="P808" i="3" s="1"/>
  <c r="M808" i="3"/>
  <c r="K808" i="3"/>
  <c r="P807" i="3"/>
  <c r="Q807" i="3" s="1"/>
  <c r="O807" i="3"/>
  <c r="M807" i="3"/>
  <c r="K807" i="3"/>
  <c r="N807" i="3" s="1"/>
  <c r="O806" i="3"/>
  <c r="K806" i="3"/>
  <c r="O805" i="3"/>
  <c r="M805" i="3"/>
  <c r="K805" i="3"/>
  <c r="O804" i="3"/>
  <c r="N804" i="3"/>
  <c r="P804" i="3" s="1"/>
  <c r="Q804" i="3" s="1"/>
  <c r="K804" i="3"/>
  <c r="M804" i="3" s="1"/>
  <c r="O803" i="3"/>
  <c r="N803" i="3"/>
  <c r="P803" i="3" s="1"/>
  <c r="Q803" i="3" s="1"/>
  <c r="K803" i="3"/>
  <c r="M803" i="3" s="1"/>
  <c r="O802" i="3"/>
  <c r="K802" i="3"/>
  <c r="Q801" i="3"/>
  <c r="O801" i="3"/>
  <c r="K801" i="3"/>
  <c r="M801" i="3" s="1"/>
  <c r="N801" i="3" s="1"/>
  <c r="P801" i="3" s="1"/>
  <c r="O800" i="3"/>
  <c r="N800" i="3"/>
  <c r="P800" i="3" s="1"/>
  <c r="Q800" i="3" s="1"/>
  <c r="M800" i="3"/>
  <c r="K800" i="3"/>
  <c r="O799" i="3"/>
  <c r="K799" i="3"/>
  <c r="O798" i="3"/>
  <c r="K798" i="3"/>
  <c r="O797" i="3"/>
  <c r="K797" i="3"/>
  <c r="O796" i="3"/>
  <c r="N796" i="3"/>
  <c r="P796" i="3" s="1"/>
  <c r="Q796" i="3" s="1"/>
  <c r="M796" i="3"/>
  <c r="K796" i="3"/>
  <c r="O795" i="3"/>
  <c r="N795" i="3"/>
  <c r="P795" i="3" s="1"/>
  <c r="Q795" i="3" s="1"/>
  <c r="M795" i="3"/>
  <c r="K795" i="3"/>
  <c r="O794" i="3"/>
  <c r="N794" i="3"/>
  <c r="P794" i="3" s="1"/>
  <c r="Q794" i="3" s="1"/>
  <c r="M794" i="3"/>
  <c r="K794" i="3"/>
  <c r="O793" i="3"/>
  <c r="N793" i="3"/>
  <c r="P793" i="3" s="1"/>
  <c r="Q793" i="3" s="1"/>
  <c r="M793" i="3"/>
  <c r="K793" i="3"/>
  <c r="O792" i="3"/>
  <c r="N792" i="3"/>
  <c r="P792" i="3" s="1"/>
  <c r="Q792" i="3" s="1"/>
  <c r="M792" i="3"/>
  <c r="K792" i="3"/>
  <c r="O791" i="3"/>
  <c r="K791" i="3"/>
  <c r="O790" i="3"/>
  <c r="M790" i="3"/>
  <c r="K790" i="3"/>
  <c r="O789" i="3"/>
  <c r="M789" i="3"/>
  <c r="K789" i="3"/>
  <c r="O788" i="3"/>
  <c r="K788" i="3"/>
  <c r="O787" i="3"/>
  <c r="K787" i="3"/>
  <c r="O786" i="3"/>
  <c r="M786" i="3"/>
  <c r="K786" i="3"/>
  <c r="O785" i="3"/>
  <c r="N785" i="3"/>
  <c r="P785" i="3" s="1"/>
  <c r="Q785" i="3" s="1"/>
  <c r="M785" i="3"/>
  <c r="K785" i="3"/>
  <c r="O784" i="3"/>
  <c r="M784" i="3"/>
  <c r="N784" i="3" s="1"/>
  <c r="K784" i="3"/>
  <c r="O783" i="3"/>
  <c r="K783" i="3"/>
  <c r="O782" i="3"/>
  <c r="K782" i="3"/>
  <c r="O781" i="3"/>
  <c r="M781" i="3"/>
  <c r="K781" i="3"/>
  <c r="O780" i="3"/>
  <c r="M780" i="3"/>
  <c r="K780" i="3"/>
  <c r="N780" i="3" s="1"/>
  <c r="P780" i="3" s="1"/>
  <c r="Q780" i="3" s="1"/>
  <c r="O779" i="3"/>
  <c r="N779" i="3"/>
  <c r="P779" i="3" s="1"/>
  <c r="Q779" i="3" s="1"/>
  <c r="K779" i="3"/>
  <c r="M779" i="3" s="1"/>
  <c r="O778" i="3"/>
  <c r="K778" i="3"/>
  <c r="M778" i="3" s="1"/>
  <c r="Q777" i="3"/>
  <c r="O777" i="3"/>
  <c r="K777" i="3"/>
  <c r="M777" i="3" s="1"/>
  <c r="N777" i="3" s="1"/>
  <c r="P777" i="3" s="1"/>
  <c r="P776" i="3"/>
  <c r="Q776" i="3" s="1"/>
  <c r="O776" i="3"/>
  <c r="N776" i="3"/>
  <c r="M776" i="3"/>
  <c r="K776" i="3"/>
  <c r="O775" i="3"/>
  <c r="K775" i="3"/>
  <c r="M775" i="3" s="1"/>
  <c r="O774" i="3"/>
  <c r="M774" i="3"/>
  <c r="K774" i="3"/>
  <c r="O773" i="3"/>
  <c r="K773" i="3"/>
  <c r="O772" i="3"/>
  <c r="K772" i="3"/>
  <c r="M772" i="3" s="1"/>
  <c r="O771" i="3"/>
  <c r="K771" i="3"/>
  <c r="O770" i="3"/>
  <c r="N770" i="3"/>
  <c r="P770" i="3" s="1"/>
  <c r="Q770" i="3" s="1"/>
  <c r="M770" i="3"/>
  <c r="K770" i="3"/>
  <c r="O769" i="3"/>
  <c r="K769" i="3"/>
  <c r="M769" i="3" s="1"/>
  <c r="N769" i="3" s="1"/>
  <c r="P769" i="3" s="1"/>
  <c r="Q769" i="3" s="1"/>
  <c r="O768" i="3"/>
  <c r="M768" i="3"/>
  <c r="N768" i="3" s="1"/>
  <c r="P768" i="3" s="1"/>
  <c r="Q768" i="3" s="1"/>
  <c r="K768" i="3"/>
  <c r="O767" i="3"/>
  <c r="N767" i="3"/>
  <c r="K767" i="3"/>
  <c r="M767" i="3" s="1"/>
  <c r="O766" i="3"/>
  <c r="M766" i="3"/>
  <c r="K766" i="3"/>
  <c r="O765" i="3"/>
  <c r="K765" i="3"/>
  <c r="O764" i="3"/>
  <c r="K764" i="3"/>
  <c r="O763" i="3"/>
  <c r="K763" i="3"/>
  <c r="O762" i="3"/>
  <c r="K762" i="3"/>
  <c r="O761" i="3"/>
  <c r="N761" i="3"/>
  <c r="P761" i="3" s="1"/>
  <c r="Q761" i="3" s="1"/>
  <c r="M761" i="3"/>
  <c r="K761" i="3"/>
  <c r="Q760" i="3"/>
  <c r="O760" i="3"/>
  <c r="N760" i="3"/>
  <c r="P760" i="3" s="1"/>
  <c r="M760" i="3"/>
  <c r="K760" i="3"/>
  <c r="O759" i="3"/>
  <c r="K759" i="3"/>
  <c r="M759" i="3" s="1"/>
  <c r="O758" i="3"/>
  <c r="K758" i="3"/>
  <c r="O757" i="3"/>
  <c r="K757" i="3"/>
  <c r="O756" i="3"/>
  <c r="K756" i="3"/>
  <c r="O755" i="3"/>
  <c r="M755" i="3"/>
  <c r="N755" i="3" s="1"/>
  <c r="P755" i="3" s="1"/>
  <c r="Q755" i="3" s="1"/>
  <c r="K755" i="3"/>
  <c r="O754" i="3"/>
  <c r="M754" i="3"/>
  <c r="K754" i="3"/>
  <c r="O753" i="3"/>
  <c r="N753" i="3"/>
  <c r="M753" i="3"/>
  <c r="K753" i="3"/>
  <c r="O752" i="3"/>
  <c r="N752" i="3"/>
  <c r="P752" i="3" s="1"/>
  <c r="Q752" i="3" s="1"/>
  <c r="M752" i="3"/>
  <c r="K752" i="3"/>
  <c r="O751" i="3"/>
  <c r="N751" i="3"/>
  <c r="P751" i="3" s="1"/>
  <c r="Q751" i="3" s="1"/>
  <c r="K751" i="3"/>
  <c r="M751" i="3" s="1"/>
  <c r="O750" i="3"/>
  <c r="M750" i="3"/>
  <c r="K750" i="3"/>
  <c r="O749" i="3"/>
  <c r="K749" i="3"/>
  <c r="O748" i="3"/>
  <c r="K748" i="3"/>
  <c r="O747" i="3"/>
  <c r="K747" i="3"/>
  <c r="M747" i="3" s="1"/>
  <c r="Q746" i="3"/>
  <c r="O746" i="3"/>
  <c r="M746" i="3"/>
  <c r="N746" i="3" s="1"/>
  <c r="P746" i="3" s="1"/>
  <c r="K746" i="3"/>
  <c r="O745" i="3"/>
  <c r="N745" i="3"/>
  <c r="P745" i="3" s="1"/>
  <c r="Q745" i="3" s="1"/>
  <c r="K745" i="3"/>
  <c r="M745" i="3" s="1"/>
  <c r="P744" i="3"/>
  <c r="Q744" i="3" s="1"/>
  <c r="O744" i="3"/>
  <c r="M744" i="3"/>
  <c r="N744" i="3" s="1"/>
  <c r="K744" i="3"/>
  <c r="P743" i="3"/>
  <c r="Q743" i="3" s="1"/>
  <c r="O743" i="3"/>
  <c r="N743" i="3"/>
  <c r="K743" i="3"/>
  <c r="M743" i="3" s="1"/>
  <c r="O742" i="3"/>
  <c r="K742" i="3"/>
  <c r="O741" i="3"/>
  <c r="K741" i="3"/>
  <c r="O740" i="3"/>
  <c r="N740" i="3"/>
  <c r="K740" i="3"/>
  <c r="M740" i="3" s="1"/>
  <c r="O739" i="3"/>
  <c r="K739" i="3"/>
  <c r="O738" i="3"/>
  <c r="K738" i="3"/>
  <c r="P737" i="3"/>
  <c r="Q737" i="3" s="1"/>
  <c r="O737" i="3"/>
  <c r="N737" i="3"/>
  <c r="K737" i="3"/>
  <c r="M737" i="3" s="1"/>
  <c r="P736" i="3"/>
  <c r="Q736" i="3" s="1"/>
  <c r="O736" i="3"/>
  <c r="M736" i="3"/>
  <c r="N736" i="3" s="1"/>
  <c r="K736" i="3"/>
  <c r="O735" i="3"/>
  <c r="K735" i="3"/>
  <c r="M735" i="3" s="1"/>
  <c r="N735" i="3" s="1"/>
  <c r="P735" i="3" s="1"/>
  <c r="Q735" i="3" s="1"/>
  <c r="O734" i="3"/>
  <c r="M734" i="3"/>
  <c r="K734" i="3"/>
  <c r="O733" i="3"/>
  <c r="K733" i="3"/>
  <c r="O732" i="3"/>
  <c r="K732" i="3"/>
  <c r="M732" i="3" s="1"/>
  <c r="N732" i="3" s="1"/>
  <c r="P732" i="3" s="1"/>
  <c r="Q732" i="3" s="1"/>
  <c r="O731" i="3"/>
  <c r="K731" i="3"/>
  <c r="O730" i="3"/>
  <c r="N730" i="3"/>
  <c r="K730" i="3"/>
  <c r="M730" i="3" s="1"/>
  <c r="O729" i="3"/>
  <c r="K729" i="3"/>
  <c r="M729" i="3" s="1"/>
  <c r="N729" i="3" s="1"/>
  <c r="O728" i="3"/>
  <c r="M728" i="3"/>
  <c r="N728" i="3" s="1"/>
  <c r="P728" i="3" s="1"/>
  <c r="Q728" i="3" s="1"/>
  <c r="K728" i="3"/>
  <c r="O727" i="3"/>
  <c r="K727" i="3"/>
  <c r="O726" i="3"/>
  <c r="M726" i="3"/>
  <c r="K726" i="3"/>
  <c r="O725" i="3"/>
  <c r="K725" i="3"/>
  <c r="O724" i="3"/>
  <c r="M724" i="3"/>
  <c r="K724" i="3"/>
  <c r="O723" i="3"/>
  <c r="N723" i="3"/>
  <c r="P723" i="3" s="1"/>
  <c r="Q723" i="3" s="1"/>
  <c r="M723" i="3"/>
  <c r="K723" i="3"/>
  <c r="O722" i="3"/>
  <c r="K722" i="3"/>
  <c r="M722" i="3" s="1"/>
  <c r="O721" i="3"/>
  <c r="N721" i="3"/>
  <c r="K721" i="3"/>
  <c r="M721" i="3" s="1"/>
  <c r="O720" i="3"/>
  <c r="N720" i="3"/>
  <c r="P720" i="3" s="1"/>
  <c r="Q720" i="3" s="1"/>
  <c r="M720" i="3"/>
  <c r="K720" i="3"/>
  <c r="O719" i="3"/>
  <c r="M719" i="3"/>
  <c r="N719" i="3" s="1"/>
  <c r="P719" i="3" s="1"/>
  <c r="Q719" i="3" s="1"/>
  <c r="K719" i="3"/>
  <c r="O718" i="3"/>
  <c r="K718" i="3"/>
  <c r="O717" i="3"/>
  <c r="K717" i="3"/>
  <c r="O716" i="3"/>
  <c r="M716" i="3"/>
  <c r="K716" i="3"/>
  <c r="O715" i="3"/>
  <c r="N715" i="3"/>
  <c r="P715" i="3" s="1"/>
  <c r="Q715" i="3" s="1"/>
  <c r="M715" i="3"/>
  <c r="K715" i="3"/>
  <c r="O714" i="3"/>
  <c r="K714" i="3"/>
  <c r="O713" i="3"/>
  <c r="N713" i="3"/>
  <c r="P713" i="3" s="1"/>
  <c r="Q713" i="3" s="1"/>
  <c r="K713" i="3"/>
  <c r="M713" i="3" s="1"/>
  <c r="O712" i="3"/>
  <c r="N712" i="3"/>
  <c r="P712" i="3" s="1"/>
  <c r="Q712" i="3" s="1"/>
  <c r="M712" i="3"/>
  <c r="K712" i="3"/>
  <c r="O711" i="3"/>
  <c r="K711" i="3"/>
  <c r="O710" i="3"/>
  <c r="K710" i="3"/>
  <c r="O709" i="3"/>
  <c r="M709" i="3"/>
  <c r="K709" i="3"/>
  <c r="O708" i="3"/>
  <c r="K708" i="3"/>
  <c r="O707" i="3"/>
  <c r="K707" i="3"/>
  <c r="O706" i="3"/>
  <c r="K706" i="3"/>
  <c r="O705" i="3"/>
  <c r="N705" i="3"/>
  <c r="P705" i="3" s="1"/>
  <c r="Q705" i="3" s="1"/>
  <c r="K705" i="3"/>
  <c r="M705" i="3" s="1"/>
  <c r="O704" i="3"/>
  <c r="M704" i="3"/>
  <c r="N704" i="3" s="1"/>
  <c r="P704" i="3" s="1"/>
  <c r="Q704" i="3" s="1"/>
  <c r="K704" i="3"/>
  <c r="P703" i="3"/>
  <c r="Q703" i="3" s="1"/>
  <c r="O703" i="3"/>
  <c r="M703" i="3"/>
  <c r="N703" i="3" s="1"/>
  <c r="K703" i="3"/>
  <c r="O702" i="3"/>
  <c r="K702" i="3"/>
  <c r="O701" i="3"/>
  <c r="K701" i="3"/>
  <c r="O700" i="3"/>
  <c r="M700" i="3"/>
  <c r="N700" i="3" s="1"/>
  <c r="P700" i="3" s="1"/>
  <c r="Q700" i="3" s="1"/>
  <c r="K700" i="3"/>
  <c r="O699" i="3"/>
  <c r="N699" i="3"/>
  <c r="P699" i="3" s="1"/>
  <c r="Q699" i="3" s="1"/>
  <c r="M699" i="3"/>
  <c r="K699" i="3"/>
  <c r="O698" i="3"/>
  <c r="K698" i="3"/>
  <c r="M698" i="3" s="1"/>
  <c r="N698" i="3" s="1"/>
  <c r="P698" i="3" s="1"/>
  <c r="Q698" i="3" s="1"/>
  <c r="O697" i="3"/>
  <c r="P697" i="3" s="1"/>
  <c r="Q697" i="3" s="1"/>
  <c r="K697" i="3"/>
  <c r="M697" i="3" s="1"/>
  <c r="N697" i="3" s="1"/>
  <c r="O696" i="3"/>
  <c r="N696" i="3"/>
  <c r="P696" i="3" s="1"/>
  <c r="Q696" i="3" s="1"/>
  <c r="M696" i="3"/>
  <c r="K696" i="3"/>
  <c r="O695" i="3"/>
  <c r="K695" i="3"/>
  <c r="O694" i="3"/>
  <c r="M694" i="3"/>
  <c r="K694" i="3"/>
  <c r="O693" i="3"/>
  <c r="M693" i="3"/>
  <c r="K693" i="3"/>
  <c r="O692" i="3"/>
  <c r="N692" i="3"/>
  <c r="P692" i="3" s="1"/>
  <c r="Q692" i="3" s="1"/>
  <c r="K692" i="3"/>
  <c r="M692" i="3" s="1"/>
  <c r="O691" i="3"/>
  <c r="K691" i="3"/>
  <c r="O690" i="3"/>
  <c r="M690" i="3"/>
  <c r="K690" i="3"/>
  <c r="O689" i="3"/>
  <c r="K689" i="3"/>
  <c r="M689" i="3" s="1"/>
  <c r="N689" i="3" s="1"/>
  <c r="P689" i="3" s="1"/>
  <c r="Q689" i="3" s="1"/>
  <c r="P688" i="3"/>
  <c r="Q688" i="3" s="1"/>
  <c r="O688" i="3"/>
  <c r="N688" i="3"/>
  <c r="M688" i="3"/>
  <c r="K688" i="3"/>
  <c r="O687" i="3"/>
  <c r="K687" i="3"/>
  <c r="O686" i="3"/>
  <c r="K686" i="3"/>
  <c r="O685" i="3"/>
  <c r="K685" i="3"/>
  <c r="O684" i="3"/>
  <c r="N684" i="3"/>
  <c r="P684" i="3" s="1"/>
  <c r="Q684" i="3" s="1"/>
  <c r="K684" i="3"/>
  <c r="M684" i="3" s="1"/>
  <c r="O683" i="3"/>
  <c r="M683" i="3"/>
  <c r="N683" i="3" s="1"/>
  <c r="P683" i="3" s="1"/>
  <c r="Q683" i="3" s="1"/>
  <c r="K683" i="3"/>
  <c r="O682" i="3"/>
  <c r="M682" i="3"/>
  <c r="N682" i="3" s="1"/>
  <c r="P682" i="3" s="1"/>
  <c r="Q682" i="3" s="1"/>
  <c r="K682" i="3"/>
  <c r="Q681" i="3"/>
  <c r="O681" i="3"/>
  <c r="K681" i="3"/>
  <c r="M681" i="3" s="1"/>
  <c r="N681" i="3" s="1"/>
  <c r="P681" i="3" s="1"/>
  <c r="O680" i="3"/>
  <c r="M680" i="3"/>
  <c r="N680" i="3" s="1"/>
  <c r="P680" i="3" s="1"/>
  <c r="Q680" i="3" s="1"/>
  <c r="K680" i="3"/>
  <c r="O679" i="3"/>
  <c r="M679" i="3"/>
  <c r="N679" i="3" s="1"/>
  <c r="P679" i="3" s="1"/>
  <c r="Q679" i="3" s="1"/>
  <c r="K679" i="3"/>
  <c r="O678" i="3"/>
  <c r="K678" i="3"/>
  <c r="O677" i="3"/>
  <c r="K677" i="3"/>
  <c r="O676" i="3"/>
  <c r="K676" i="3"/>
  <c r="M676" i="3" s="1"/>
  <c r="O675" i="3"/>
  <c r="K675" i="3"/>
  <c r="O674" i="3"/>
  <c r="M674" i="3"/>
  <c r="K674" i="3"/>
  <c r="O673" i="3"/>
  <c r="K673" i="3"/>
  <c r="M673" i="3" s="1"/>
  <c r="N673" i="3" s="1"/>
  <c r="P673" i="3" s="1"/>
  <c r="Q673" i="3" s="1"/>
  <c r="Q672" i="3"/>
  <c r="P672" i="3"/>
  <c r="O672" i="3"/>
  <c r="M672" i="3"/>
  <c r="N672" i="3" s="1"/>
  <c r="K672" i="3"/>
  <c r="O671" i="3"/>
  <c r="K671" i="3"/>
  <c r="O670" i="3"/>
  <c r="K670" i="3"/>
  <c r="O669" i="3"/>
  <c r="K669" i="3"/>
  <c r="O668" i="3"/>
  <c r="M668" i="3"/>
  <c r="K668" i="3"/>
  <c r="O667" i="3"/>
  <c r="K667" i="3"/>
  <c r="Q666" i="3"/>
  <c r="O666" i="3"/>
  <c r="N666" i="3"/>
  <c r="P666" i="3" s="1"/>
  <c r="K666" i="3"/>
  <c r="M666" i="3" s="1"/>
  <c r="O665" i="3"/>
  <c r="N665" i="3"/>
  <c r="P665" i="3" s="1"/>
  <c r="Q665" i="3" s="1"/>
  <c r="K665" i="3"/>
  <c r="M665" i="3" s="1"/>
  <c r="O664" i="3"/>
  <c r="N664" i="3"/>
  <c r="P664" i="3" s="1"/>
  <c r="Q664" i="3" s="1"/>
  <c r="M664" i="3"/>
  <c r="K664" i="3"/>
  <c r="O663" i="3"/>
  <c r="K663" i="3"/>
  <c r="O662" i="3"/>
  <c r="K662" i="3"/>
  <c r="O661" i="3"/>
  <c r="K661" i="3"/>
  <c r="O660" i="3"/>
  <c r="K660" i="3"/>
  <c r="O659" i="3"/>
  <c r="M659" i="3"/>
  <c r="N659" i="3" s="1"/>
  <c r="K659" i="3"/>
  <c r="O658" i="3"/>
  <c r="M658" i="3"/>
  <c r="K658" i="3"/>
  <c r="O657" i="3"/>
  <c r="K657" i="3"/>
  <c r="M657" i="3" s="1"/>
  <c r="O656" i="3"/>
  <c r="N656" i="3"/>
  <c r="P656" i="3" s="1"/>
  <c r="Q656" i="3" s="1"/>
  <c r="M656" i="3"/>
  <c r="K656" i="3"/>
  <c r="O655" i="3"/>
  <c r="K655" i="3"/>
  <c r="Q654" i="3"/>
  <c r="O654" i="3"/>
  <c r="M654" i="3"/>
  <c r="K654" i="3"/>
  <c r="N654" i="3" s="1"/>
  <c r="P654" i="3" s="1"/>
  <c r="P653" i="3"/>
  <c r="Q653" i="3" s="1"/>
  <c r="O653" i="3"/>
  <c r="M653" i="3"/>
  <c r="N653" i="3" s="1"/>
  <c r="K653" i="3"/>
  <c r="O652" i="3"/>
  <c r="N652" i="3"/>
  <c r="P652" i="3" s="1"/>
  <c r="Q652" i="3" s="1"/>
  <c r="M652" i="3"/>
  <c r="K652" i="3"/>
  <c r="O651" i="3"/>
  <c r="K651" i="3"/>
  <c r="M651" i="3" s="1"/>
  <c r="N651" i="3" s="1"/>
  <c r="P651" i="3" s="1"/>
  <c r="Q651" i="3" s="1"/>
  <c r="O650" i="3"/>
  <c r="N650" i="3"/>
  <c r="P650" i="3" s="1"/>
  <c r="Q650" i="3" s="1"/>
  <c r="K650" i="3"/>
  <c r="M650" i="3" s="1"/>
  <c r="P649" i="3"/>
  <c r="Q649" i="3" s="1"/>
  <c r="O649" i="3"/>
  <c r="N649" i="3"/>
  <c r="K649" i="3"/>
  <c r="M649" i="3" s="1"/>
  <c r="Q648" i="3"/>
  <c r="O648" i="3"/>
  <c r="K648" i="3"/>
  <c r="M648" i="3" s="1"/>
  <c r="N648" i="3" s="1"/>
  <c r="P648" i="3" s="1"/>
  <c r="O647" i="3"/>
  <c r="M647" i="3"/>
  <c r="K647" i="3"/>
  <c r="O646" i="3"/>
  <c r="K646" i="3"/>
  <c r="O645" i="3"/>
  <c r="K645" i="3"/>
  <c r="M645" i="3" s="1"/>
  <c r="N645" i="3" s="1"/>
  <c r="P645" i="3" s="1"/>
  <c r="Q645" i="3" s="1"/>
  <c r="O644" i="3"/>
  <c r="K644" i="3"/>
  <c r="M644" i="3" s="1"/>
  <c r="O643" i="3"/>
  <c r="K643" i="3"/>
  <c r="M643" i="3" s="1"/>
  <c r="Q642" i="3"/>
  <c r="O642" i="3"/>
  <c r="K642" i="3"/>
  <c r="M642" i="3" s="1"/>
  <c r="N642" i="3" s="1"/>
  <c r="P642" i="3" s="1"/>
  <c r="O641" i="3"/>
  <c r="N641" i="3"/>
  <c r="K641" i="3"/>
  <c r="M641" i="3" s="1"/>
  <c r="O640" i="3"/>
  <c r="K640" i="3"/>
  <c r="O639" i="3"/>
  <c r="K639" i="3"/>
  <c r="O638" i="3"/>
  <c r="N638" i="3"/>
  <c r="P638" i="3" s="1"/>
  <c r="Q638" i="3" s="1"/>
  <c r="M638" i="3"/>
  <c r="K638" i="3"/>
  <c r="O637" i="3"/>
  <c r="M637" i="3"/>
  <c r="N637" i="3" s="1"/>
  <c r="P637" i="3" s="1"/>
  <c r="Q637" i="3" s="1"/>
  <c r="K637" i="3"/>
  <c r="O636" i="3"/>
  <c r="M636" i="3"/>
  <c r="N636" i="3" s="1"/>
  <c r="P636" i="3" s="1"/>
  <c r="Q636" i="3" s="1"/>
  <c r="K636" i="3"/>
  <c r="O635" i="3"/>
  <c r="N635" i="3"/>
  <c r="P635" i="3" s="1"/>
  <c r="Q635" i="3" s="1"/>
  <c r="K635" i="3"/>
  <c r="M635" i="3" s="1"/>
  <c r="P634" i="3"/>
  <c r="Q634" i="3" s="1"/>
  <c r="O634" i="3"/>
  <c r="M634" i="3"/>
  <c r="K634" i="3"/>
  <c r="N634" i="3" s="1"/>
  <c r="O633" i="3"/>
  <c r="K633" i="3"/>
  <c r="M633" i="3" s="1"/>
  <c r="O632" i="3"/>
  <c r="K632" i="3"/>
  <c r="O631" i="3"/>
  <c r="K631" i="3"/>
  <c r="O630" i="3"/>
  <c r="M630" i="3"/>
  <c r="N630" i="3" s="1"/>
  <c r="P630" i="3" s="1"/>
  <c r="Q630" i="3" s="1"/>
  <c r="K630" i="3"/>
  <c r="O629" i="3"/>
  <c r="M629" i="3"/>
  <c r="N629" i="3" s="1"/>
  <c r="P629" i="3" s="1"/>
  <c r="Q629" i="3" s="1"/>
  <c r="K629" i="3"/>
  <c r="O628" i="3"/>
  <c r="M628" i="3"/>
  <c r="K628" i="3"/>
  <c r="O627" i="3"/>
  <c r="M627" i="3"/>
  <c r="N627" i="3" s="1"/>
  <c r="P627" i="3" s="1"/>
  <c r="Q627" i="3" s="1"/>
  <c r="K627" i="3"/>
  <c r="O626" i="3"/>
  <c r="M626" i="3"/>
  <c r="N626" i="3" s="1"/>
  <c r="P626" i="3" s="1"/>
  <c r="Q626" i="3" s="1"/>
  <c r="K626" i="3"/>
  <c r="O625" i="3"/>
  <c r="K625" i="3"/>
  <c r="O624" i="3"/>
  <c r="N624" i="3"/>
  <c r="P624" i="3" s="1"/>
  <c r="Q624" i="3" s="1"/>
  <c r="M624" i="3"/>
  <c r="K624" i="3"/>
  <c r="O623" i="3"/>
  <c r="K623" i="3"/>
  <c r="O622" i="3"/>
  <c r="K622" i="3"/>
  <c r="O621" i="3"/>
  <c r="K621" i="3"/>
  <c r="O620" i="3"/>
  <c r="N620" i="3"/>
  <c r="P620" i="3" s="1"/>
  <c r="Q620" i="3" s="1"/>
  <c r="K620" i="3"/>
  <c r="M620" i="3" s="1"/>
  <c r="O619" i="3"/>
  <c r="M619" i="3"/>
  <c r="K619" i="3"/>
  <c r="N619" i="3" s="1"/>
  <c r="P619" i="3" s="1"/>
  <c r="Q619" i="3" s="1"/>
  <c r="O618" i="3"/>
  <c r="M618" i="3"/>
  <c r="K618" i="3"/>
  <c r="Q617" i="3"/>
  <c r="P617" i="3"/>
  <c r="O617" i="3"/>
  <c r="N617" i="3"/>
  <c r="K617" i="3"/>
  <c r="M617" i="3" s="1"/>
  <c r="O616" i="3"/>
  <c r="M616" i="3"/>
  <c r="K616" i="3"/>
  <c r="N616" i="3" s="1"/>
  <c r="P616" i="3" s="1"/>
  <c r="Q616" i="3" s="1"/>
  <c r="O615" i="3"/>
  <c r="K615" i="3"/>
  <c r="O614" i="3"/>
  <c r="K614" i="3"/>
  <c r="O613" i="3"/>
  <c r="N613" i="3"/>
  <c r="P613" i="3" s="1"/>
  <c r="Q613" i="3" s="1"/>
  <c r="M613" i="3"/>
  <c r="K613" i="3"/>
  <c r="Q612" i="3"/>
  <c r="O612" i="3"/>
  <c r="M612" i="3"/>
  <c r="K612" i="3"/>
  <c r="N612" i="3" s="1"/>
  <c r="P612" i="3" s="1"/>
  <c r="O611" i="3"/>
  <c r="M611" i="3"/>
  <c r="K611" i="3"/>
  <c r="O610" i="3"/>
  <c r="M610" i="3"/>
  <c r="K610" i="3"/>
  <c r="O609" i="3"/>
  <c r="K609" i="3"/>
  <c r="O608" i="3"/>
  <c r="K608" i="3"/>
  <c r="O607" i="3"/>
  <c r="M607" i="3"/>
  <c r="N607" i="3" s="1"/>
  <c r="P607" i="3" s="1"/>
  <c r="Q607" i="3" s="1"/>
  <c r="K607" i="3"/>
  <c r="O606" i="3"/>
  <c r="K606" i="3"/>
  <c r="M606" i="3" s="1"/>
  <c r="O605" i="3"/>
  <c r="M605" i="3"/>
  <c r="N605" i="3" s="1"/>
  <c r="P605" i="3" s="1"/>
  <c r="Q605" i="3" s="1"/>
  <c r="K605" i="3"/>
  <c r="O604" i="3"/>
  <c r="K604" i="3"/>
  <c r="P603" i="3"/>
  <c r="Q603" i="3" s="1"/>
  <c r="O603" i="3"/>
  <c r="N603" i="3"/>
  <c r="K603" i="3"/>
  <c r="M603" i="3" s="1"/>
  <c r="O602" i="3"/>
  <c r="K602" i="3"/>
  <c r="O601" i="3"/>
  <c r="M601" i="3"/>
  <c r="K601" i="3"/>
  <c r="O600" i="3"/>
  <c r="K600" i="3"/>
  <c r="O599" i="3"/>
  <c r="M599" i="3"/>
  <c r="N599" i="3" s="1"/>
  <c r="P599" i="3" s="1"/>
  <c r="Q599" i="3" s="1"/>
  <c r="K599" i="3"/>
  <c r="O598" i="3"/>
  <c r="M598" i="3"/>
  <c r="N598" i="3" s="1"/>
  <c r="P598" i="3" s="1"/>
  <c r="Q598" i="3" s="1"/>
  <c r="K598" i="3"/>
  <c r="O597" i="3"/>
  <c r="M597" i="3"/>
  <c r="N597" i="3" s="1"/>
  <c r="P597" i="3" s="1"/>
  <c r="Q597" i="3" s="1"/>
  <c r="K597" i="3"/>
  <c r="P596" i="3"/>
  <c r="Q596" i="3" s="1"/>
  <c r="O596" i="3"/>
  <c r="N596" i="3"/>
  <c r="M596" i="3"/>
  <c r="K596" i="3"/>
  <c r="O595" i="3"/>
  <c r="K595" i="3"/>
  <c r="M595" i="3" s="1"/>
  <c r="N595" i="3" s="1"/>
  <c r="P595" i="3" s="1"/>
  <c r="Q595" i="3" s="1"/>
  <c r="O594" i="3"/>
  <c r="K594" i="3"/>
  <c r="O593" i="3"/>
  <c r="K593" i="3"/>
  <c r="O592" i="3"/>
  <c r="M592" i="3"/>
  <c r="K592" i="3"/>
  <c r="N592" i="3" s="1"/>
  <c r="P592" i="3" s="1"/>
  <c r="Q592" i="3" s="1"/>
  <c r="O591" i="3"/>
  <c r="M591" i="3"/>
  <c r="N591" i="3" s="1"/>
  <c r="P591" i="3" s="1"/>
  <c r="Q591" i="3" s="1"/>
  <c r="K591" i="3"/>
  <c r="O590" i="3"/>
  <c r="N590" i="3"/>
  <c r="P590" i="3" s="1"/>
  <c r="Q590" i="3" s="1"/>
  <c r="M590" i="3"/>
  <c r="K590" i="3"/>
  <c r="O589" i="3"/>
  <c r="K589" i="3"/>
  <c r="P588" i="3"/>
  <c r="Q588" i="3" s="1"/>
  <c r="O588" i="3"/>
  <c r="N588" i="3"/>
  <c r="M588" i="3"/>
  <c r="K588" i="3"/>
  <c r="O587" i="3"/>
  <c r="N587" i="3"/>
  <c r="P587" i="3" s="1"/>
  <c r="Q587" i="3" s="1"/>
  <c r="M587" i="3"/>
  <c r="K587" i="3"/>
  <c r="O586" i="3"/>
  <c r="K586" i="3"/>
  <c r="O585" i="3"/>
  <c r="N585" i="3"/>
  <c r="P585" i="3" s="1"/>
  <c r="Q585" i="3" s="1"/>
  <c r="K585" i="3"/>
  <c r="M585" i="3" s="1"/>
  <c r="O584" i="3"/>
  <c r="N584" i="3"/>
  <c r="P584" i="3" s="1"/>
  <c r="Q584" i="3" s="1"/>
  <c r="M584" i="3"/>
  <c r="K584" i="3"/>
  <c r="O583" i="3"/>
  <c r="K583" i="3"/>
  <c r="O582" i="3"/>
  <c r="K582" i="3"/>
  <c r="M582" i="3" s="1"/>
  <c r="O581" i="3"/>
  <c r="K581" i="3"/>
  <c r="O580" i="3"/>
  <c r="K580" i="3"/>
  <c r="M580" i="3" s="1"/>
  <c r="O579" i="3"/>
  <c r="K579" i="3"/>
  <c r="O578" i="3"/>
  <c r="K578" i="3"/>
  <c r="O577" i="3"/>
  <c r="K577" i="3"/>
  <c r="P576" i="3"/>
  <c r="Q576" i="3" s="1"/>
  <c r="O576" i="3"/>
  <c r="M576" i="3"/>
  <c r="N576" i="3" s="1"/>
  <c r="K576" i="3"/>
  <c r="O575" i="3"/>
  <c r="M575" i="3"/>
  <c r="K575" i="3"/>
  <c r="O574" i="3"/>
  <c r="K574" i="3"/>
  <c r="O573" i="3"/>
  <c r="N573" i="3"/>
  <c r="P573" i="3" s="1"/>
  <c r="Q573" i="3" s="1"/>
  <c r="K573" i="3"/>
  <c r="M573" i="3" s="1"/>
  <c r="O572" i="3"/>
  <c r="K572" i="3"/>
  <c r="M572" i="3" s="1"/>
  <c r="N572" i="3" s="1"/>
  <c r="P572" i="3" s="1"/>
  <c r="Q572" i="3" s="1"/>
  <c r="O571" i="3"/>
  <c r="M571" i="3"/>
  <c r="N571" i="3" s="1"/>
  <c r="P571" i="3" s="1"/>
  <c r="Q571" i="3" s="1"/>
  <c r="K571" i="3"/>
  <c r="O570" i="3"/>
  <c r="K570" i="3"/>
  <c r="O569" i="3"/>
  <c r="K569" i="3"/>
  <c r="O568" i="3"/>
  <c r="N568" i="3"/>
  <c r="P568" i="3" s="1"/>
  <c r="Q568" i="3" s="1"/>
  <c r="K568" i="3"/>
  <c r="M568" i="3" s="1"/>
  <c r="O567" i="3"/>
  <c r="K567" i="3"/>
  <c r="O566" i="3"/>
  <c r="K566" i="3"/>
  <c r="O565" i="3"/>
  <c r="K565" i="3"/>
  <c r="Q564" i="3"/>
  <c r="O564" i="3"/>
  <c r="N564" i="3"/>
  <c r="P564" i="3" s="1"/>
  <c r="M564" i="3"/>
  <c r="K564" i="3"/>
  <c r="O563" i="3"/>
  <c r="M563" i="3"/>
  <c r="N563" i="3" s="1"/>
  <c r="P563" i="3" s="1"/>
  <c r="Q563" i="3" s="1"/>
  <c r="K563" i="3"/>
  <c r="O562" i="3"/>
  <c r="K562" i="3"/>
  <c r="M562" i="3" s="1"/>
  <c r="O561" i="3"/>
  <c r="N561" i="3"/>
  <c r="P561" i="3" s="1"/>
  <c r="Q561" i="3" s="1"/>
  <c r="M561" i="3"/>
  <c r="K561" i="3"/>
  <c r="O560" i="3"/>
  <c r="N560" i="3"/>
  <c r="P560" i="3" s="1"/>
  <c r="Q560" i="3" s="1"/>
  <c r="M560" i="3"/>
  <c r="K560" i="3"/>
  <c r="O559" i="3"/>
  <c r="M559" i="3"/>
  <c r="N559" i="3" s="1"/>
  <c r="P559" i="3" s="1"/>
  <c r="Q559" i="3" s="1"/>
  <c r="K559" i="3"/>
  <c r="O558" i="3"/>
  <c r="M558" i="3"/>
  <c r="K558" i="3"/>
  <c r="O557" i="3"/>
  <c r="K557" i="3"/>
  <c r="O556" i="3"/>
  <c r="K556" i="3"/>
  <c r="M556" i="3" s="1"/>
  <c r="N556" i="3" s="1"/>
  <c r="P556" i="3" s="1"/>
  <c r="Q556" i="3" s="1"/>
  <c r="O555" i="3"/>
  <c r="N555" i="3"/>
  <c r="P555" i="3" s="1"/>
  <c r="Q555" i="3" s="1"/>
  <c r="M555" i="3"/>
  <c r="K555" i="3"/>
  <c r="O554" i="3"/>
  <c r="K554" i="3"/>
  <c r="O553" i="3"/>
  <c r="K553" i="3"/>
  <c r="O552" i="3"/>
  <c r="N552" i="3"/>
  <c r="P552" i="3" s="1"/>
  <c r="Q552" i="3" s="1"/>
  <c r="M552" i="3"/>
  <c r="K552" i="3"/>
  <c r="O551" i="3"/>
  <c r="M551" i="3"/>
  <c r="N551" i="3" s="1"/>
  <c r="P551" i="3" s="1"/>
  <c r="Q551" i="3" s="1"/>
  <c r="K551" i="3"/>
  <c r="O550" i="3"/>
  <c r="N550" i="3"/>
  <c r="P550" i="3" s="1"/>
  <c r="Q550" i="3" s="1"/>
  <c r="M550" i="3"/>
  <c r="K550" i="3"/>
  <c r="O549" i="3"/>
  <c r="K549" i="3"/>
  <c r="O548" i="3"/>
  <c r="M548" i="3"/>
  <c r="N548" i="3" s="1"/>
  <c r="P548" i="3" s="1"/>
  <c r="Q548" i="3" s="1"/>
  <c r="K548" i="3"/>
  <c r="O547" i="3"/>
  <c r="K547" i="3"/>
  <c r="O546" i="3"/>
  <c r="K546" i="3"/>
  <c r="M546" i="3" s="1"/>
  <c r="O545" i="3"/>
  <c r="N545" i="3"/>
  <c r="P545" i="3" s="1"/>
  <c r="Q545" i="3" s="1"/>
  <c r="M545" i="3"/>
  <c r="K545" i="3"/>
  <c r="P544" i="3"/>
  <c r="Q544" i="3" s="1"/>
  <c r="O544" i="3"/>
  <c r="M544" i="3"/>
  <c r="N544" i="3" s="1"/>
  <c r="K544" i="3"/>
  <c r="O543" i="3"/>
  <c r="N543" i="3"/>
  <c r="P543" i="3" s="1"/>
  <c r="Q543" i="3" s="1"/>
  <c r="K543" i="3"/>
  <c r="M543" i="3" s="1"/>
  <c r="O542" i="3"/>
  <c r="K542" i="3"/>
  <c r="O541" i="3"/>
  <c r="K541" i="3"/>
  <c r="O540" i="3"/>
  <c r="K540" i="3"/>
  <c r="O539" i="3"/>
  <c r="M539" i="3"/>
  <c r="K539" i="3"/>
  <c r="O538" i="3"/>
  <c r="N538" i="3"/>
  <c r="P538" i="3" s="1"/>
  <c r="Q538" i="3" s="1"/>
  <c r="M538" i="3"/>
  <c r="K538" i="3"/>
  <c r="O537" i="3"/>
  <c r="K537" i="3"/>
  <c r="Q536" i="3"/>
  <c r="O536" i="3"/>
  <c r="N536" i="3"/>
  <c r="P536" i="3" s="1"/>
  <c r="M536" i="3"/>
  <c r="K536" i="3"/>
  <c r="Q535" i="3"/>
  <c r="O535" i="3"/>
  <c r="N535" i="3"/>
  <c r="P535" i="3" s="1"/>
  <c r="M535" i="3"/>
  <c r="K535" i="3"/>
  <c r="O534" i="3"/>
  <c r="N534" i="3"/>
  <c r="P534" i="3" s="1"/>
  <c r="Q534" i="3" s="1"/>
  <c r="M534" i="3"/>
  <c r="K534" i="3"/>
  <c r="O533" i="3"/>
  <c r="K533" i="3"/>
  <c r="O532" i="3"/>
  <c r="K532" i="3"/>
  <c r="Q531" i="3"/>
  <c r="P531" i="3"/>
  <c r="O531" i="3"/>
  <c r="K531" i="3"/>
  <c r="M531" i="3" s="1"/>
  <c r="N531" i="3" s="1"/>
  <c r="O530" i="3"/>
  <c r="M530" i="3"/>
  <c r="K530" i="3"/>
  <c r="O529" i="3"/>
  <c r="M529" i="3"/>
  <c r="N529" i="3" s="1"/>
  <c r="P529" i="3" s="1"/>
  <c r="Q529" i="3" s="1"/>
  <c r="K529" i="3"/>
  <c r="P528" i="3"/>
  <c r="Q528" i="3" s="1"/>
  <c r="O528" i="3"/>
  <c r="M528" i="3"/>
  <c r="N528" i="3" s="1"/>
  <c r="K528" i="3"/>
  <c r="O527" i="3"/>
  <c r="M527" i="3"/>
  <c r="K527" i="3"/>
  <c r="N527" i="3" s="1"/>
  <c r="P527" i="3" s="1"/>
  <c r="Q527" i="3" s="1"/>
  <c r="O526" i="3"/>
  <c r="K526" i="3"/>
  <c r="O525" i="3"/>
  <c r="M525" i="3"/>
  <c r="K525" i="3"/>
  <c r="O524" i="3"/>
  <c r="M524" i="3"/>
  <c r="N524" i="3" s="1"/>
  <c r="P524" i="3" s="1"/>
  <c r="Q524" i="3" s="1"/>
  <c r="K524" i="3"/>
  <c r="O523" i="3"/>
  <c r="M523" i="3"/>
  <c r="N523" i="3" s="1"/>
  <c r="P523" i="3" s="1"/>
  <c r="Q523" i="3" s="1"/>
  <c r="K523" i="3"/>
  <c r="O522" i="3"/>
  <c r="N522" i="3"/>
  <c r="P522" i="3" s="1"/>
  <c r="Q522" i="3" s="1"/>
  <c r="M522" i="3"/>
  <c r="K522" i="3"/>
  <c r="O521" i="3"/>
  <c r="N521" i="3"/>
  <c r="P521" i="3" s="1"/>
  <c r="Q521" i="3" s="1"/>
  <c r="M521" i="3"/>
  <c r="K521" i="3"/>
  <c r="O520" i="3"/>
  <c r="M520" i="3"/>
  <c r="N520" i="3" s="1"/>
  <c r="P520" i="3" s="1"/>
  <c r="Q520" i="3" s="1"/>
  <c r="K520" i="3"/>
  <c r="O519" i="3"/>
  <c r="M519" i="3"/>
  <c r="K519" i="3"/>
  <c r="O518" i="3"/>
  <c r="K518" i="3"/>
  <c r="O517" i="3"/>
  <c r="K517" i="3"/>
  <c r="O516" i="3"/>
  <c r="K516" i="3"/>
  <c r="O515" i="3"/>
  <c r="K515" i="3"/>
  <c r="M515" i="3" s="1"/>
  <c r="O514" i="3"/>
  <c r="K514" i="3"/>
  <c r="O513" i="3"/>
  <c r="M513" i="3"/>
  <c r="N513" i="3" s="1"/>
  <c r="P513" i="3" s="1"/>
  <c r="Q513" i="3" s="1"/>
  <c r="K513" i="3"/>
  <c r="O512" i="3"/>
  <c r="M512" i="3"/>
  <c r="N512" i="3" s="1"/>
  <c r="P512" i="3" s="1"/>
  <c r="Q512" i="3" s="1"/>
  <c r="K512" i="3"/>
  <c r="O511" i="3"/>
  <c r="N511" i="3"/>
  <c r="P511" i="3" s="1"/>
  <c r="Q511" i="3" s="1"/>
  <c r="M511" i="3"/>
  <c r="K511" i="3"/>
  <c r="O510" i="3"/>
  <c r="K510" i="3"/>
  <c r="O509" i="3"/>
  <c r="M509" i="3"/>
  <c r="K509" i="3"/>
  <c r="O508" i="3"/>
  <c r="K508" i="3"/>
  <c r="O507" i="3"/>
  <c r="K507" i="3"/>
  <c r="O506" i="3"/>
  <c r="M506" i="3"/>
  <c r="N506" i="3" s="1"/>
  <c r="P506" i="3" s="1"/>
  <c r="Q506" i="3" s="1"/>
  <c r="K506" i="3"/>
  <c r="O505" i="3"/>
  <c r="K505" i="3"/>
  <c r="O504" i="3"/>
  <c r="N504" i="3"/>
  <c r="P504" i="3" s="1"/>
  <c r="Q504" i="3" s="1"/>
  <c r="M504" i="3"/>
  <c r="K504" i="3"/>
  <c r="O503" i="3"/>
  <c r="K503" i="3"/>
  <c r="O502" i="3"/>
  <c r="K502" i="3"/>
  <c r="O501" i="3"/>
  <c r="K501" i="3"/>
  <c r="O500" i="3"/>
  <c r="M500" i="3"/>
  <c r="K500" i="3"/>
  <c r="O499" i="3"/>
  <c r="M499" i="3"/>
  <c r="K499" i="3"/>
  <c r="O498" i="3"/>
  <c r="K498" i="3"/>
  <c r="O497" i="3"/>
  <c r="M497" i="3"/>
  <c r="N497" i="3" s="1"/>
  <c r="P497" i="3" s="1"/>
  <c r="Q497" i="3" s="1"/>
  <c r="K497" i="3"/>
  <c r="P496" i="3"/>
  <c r="Q496" i="3" s="1"/>
  <c r="O496" i="3"/>
  <c r="N496" i="3"/>
  <c r="M496" i="3"/>
  <c r="K496" i="3"/>
  <c r="O495" i="3"/>
  <c r="M495" i="3"/>
  <c r="N495" i="3" s="1"/>
  <c r="P495" i="3" s="1"/>
  <c r="Q495" i="3" s="1"/>
  <c r="K495" i="3"/>
  <c r="O494" i="3"/>
  <c r="K494" i="3"/>
  <c r="O493" i="3"/>
  <c r="M493" i="3"/>
  <c r="K493" i="3"/>
  <c r="O492" i="3"/>
  <c r="K492" i="3"/>
  <c r="M492" i="3" s="1"/>
  <c r="N492" i="3" s="1"/>
  <c r="P492" i="3" s="1"/>
  <c r="Q492" i="3" s="1"/>
  <c r="O491" i="3"/>
  <c r="M491" i="3"/>
  <c r="K491" i="3"/>
  <c r="O490" i="3"/>
  <c r="K490" i="3"/>
  <c r="M490" i="3" s="1"/>
  <c r="N490" i="3" s="1"/>
  <c r="P490" i="3" s="1"/>
  <c r="Q490" i="3" s="1"/>
  <c r="O489" i="3"/>
  <c r="K489" i="3"/>
  <c r="O488" i="3"/>
  <c r="M488" i="3"/>
  <c r="N488" i="3" s="1"/>
  <c r="P488" i="3" s="1"/>
  <c r="Q488" i="3" s="1"/>
  <c r="K488" i="3"/>
  <c r="O487" i="3"/>
  <c r="N487" i="3"/>
  <c r="P487" i="3" s="1"/>
  <c r="Q487" i="3" s="1"/>
  <c r="K487" i="3"/>
  <c r="M487" i="3" s="1"/>
  <c r="O486" i="3"/>
  <c r="N486" i="3"/>
  <c r="P486" i="3" s="1"/>
  <c r="Q486" i="3" s="1"/>
  <c r="M486" i="3"/>
  <c r="K486" i="3"/>
  <c r="O485" i="3"/>
  <c r="M485" i="3"/>
  <c r="K485" i="3"/>
  <c r="Q484" i="3"/>
  <c r="O484" i="3"/>
  <c r="M484" i="3"/>
  <c r="N484" i="3" s="1"/>
  <c r="P484" i="3" s="1"/>
  <c r="K484" i="3"/>
  <c r="O483" i="3"/>
  <c r="K483" i="3"/>
  <c r="M483" i="3" s="1"/>
  <c r="O482" i="3"/>
  <c r="M482" i="3"/>
  <c r="K482" i="3"/>
  <c r="N482" i="3" s="1"/>
  <c r="P482" i="3" s="1"/>
  <c r="Q482" i="3" s="1"/>
  <c r="O481" i="3"/>
  <c r="M481" i="3"/>
  <c r="N481" i="3" s="1"/>
  <c r="P481" i="3" s="1"/>
  <c r="Q481" i="3" s="1"/>
  <c r="K481" i="3"/>
  <c r="O480" i="3"/>
  <c r="K480" i="3"/>
  <c r="O479" i="3"/>
  <c r="K479" i="3"/>
  <c r="M479" i="3" s="1"/>
  <c r="N479" i="3" s="1"/>
  <c r="P479" i="3" s="1"/>
  <c r="Q479" i="3" s="1"/>
  <c r="O478" i="3"/>
  <c r="K478" i="3"/>
  <c r="O477" i="3"/>
  <c r="K477" i="3"/>
  <c r="M477" i="3" s="1"/>
  <c r="N477" i="3" s="1"/>
  <c r="P477" i="3" s="1"/>
  <c r="Q477" i="3" s="1"/>
  <c r="O476" i="3"/>
  <c r="K476" i="3"/>
  <c r="Q475" i="3"/>
  <c r="O475" i="3"/>
  <c r="M475" i="3"/>
  <c r="N475" i="3" s="1"/>
  <c r="P475" i="3" s="1"/>
  <c r="K475" i="3"/>
  <c r="O474" i="3"/>
  <c r="K474" i="3"/>
  <c r="O473" i="3"/>
  <c r="M473" i="3"/>
  <c r="N473" i="3" s="1"/>
  <c r="P473" i="3" s="1"/>
  <c r="Q473" i="3" s="1"/>
  <c r="K473" i="3"/>
  <c r="O472" i="3"/>
  <c r="K472" i="3"/>
  <c r="O471" i="3"/>
  <c r="K471" i="3"/>
  <c r="O470" i="3"/>
  <c r="K470" i="3"/>
  <c r="O469" i="3"/>
  <c r="K469" i="3"/>
  <c r="M469" i="3" s="1"/>
  <c r="Q468" i="3"/>
  <c r="O468" i="3"/>
  <c r="N468" i="3"/>
  <c r="P468" i="3" s="1"/>
  <c r="M468" i="3"/>
  <c r="K468" i="3"/>
  <c r="O467" i="3"/>
  <c r="M467" i="3"/>
  <c r="N467" i="3" s="1"/>
  <c r="P467" i="3" s="1"/>
  <c r="Q467" i="3" s="1"/>
  <c r="K467" i="3"/>
  <c r="O466" i="3"/>
  <c r="K466" i="3"/>
  <c r="O465" i="3"/>
  <c r="M465" i="3"/>
  <c r="N465" i="3" s="1"/>
  <c r="P465" i="3" s="1"/>
  <c r="Q465" i="3" s="1"/>
  <c r="K465" i="3"/>
  <c r="O464" i="3"/>
  <c r="K464" i="3"/>
  <c r="O463" i="3"/>
  <c r="K463" i="3"/>
  <c r="O462" i="3"/>
  <c r="K462" i="3"/>
  <c r="O461" i="3"/>
  <c r="N461" i="3"/>
  <c r="P461" i="3" s="1"/>
  <c r="Q461" i="3" s="1"/>
  <c r="K461" i="3"/>
  <c r="M461" i="3" s="1"/>
  <c r="O460" i="3"/>
  <c r="K460" i="3"/>
  <c r="M460" i="3" s="1"/>
  <c r="O459" i="3"/>
  <c r="M459" i="3"/>
  <c r="N459" i="3" s="1"/>
  <c r="P459" i="3" s="1"/>
  <c r="Q459" i="3" s="1"/>
  <c r="K459" i="3"/>
  <c r="O458" i="3"/>
  <c r="K458" i="3"/>
  <c r="O457" i="3"/>
  <c r="M457" i="3"/>
  <c r="N457" i="3" s="1"/>
  <c r="P457" i="3" s="1"/>
  <c r="Q457" i="3" s="1"/>
  <c r="K457" i="3"/>
  <c r="O456" i="3"/>
  <c r="K456" i="3"/>
  <c r="O455" i="3"/>
  <c r="K455" i="3"/>
  <c r="O454" i="3"/>
  <c r="K454" i="3"/>
  <c r="O453" i="3"/>
  <c r="K453" i="3"/>
  <c r="O452" i="3"/>
  <c r="K452" i="3"/>
  <c r="M452" i="3" s="1"/>
  <c r="N452" i="3" s="1"/>
  <c r="P452" i="3" s="1"/>
  <c r="Q452" i="3" s="1"/>
  <c r="O451" i="3"/>
  <c r="N451" i="3"/>
  <c r="P451" i="3" s="1"/>
  <c r="Q451" i="3" s="1"/>
  <c r="M451" i="3"/>
  <c r="K451" i="3"/>
  <c r="O450" i="3"/>
  <c r="K450" i="3"/>
  <c r="Q449" i="3"/>
  <c r="O449" i="3"/>
  <c r="M449" i="3"/>
  <c r="N449" i="3" s="1"/>
  <c r="P449" i="3" s="1"/>
  <c r="K449" i="3"/>
  <c r="O448" i="3"/>
  <c r="M448" i="3"/>
  <c r="K448" i="3"/>
  <c r="P447" i="3"/>
  <c r="Q447" i="3" s="1"/>
  <c r="O447" i="3"/>
  <c r="M447" i="3"/>
  <c r="N447" i="3" s="1"/>
  <c r="K447" i="3"/>
  <c r="O446" i="3"/>
  <c r="K446" i="3"/>
  <c r="O445" i="3"/>
  <c r="M445" i="3"/>
  <c r="K445" i="3"/>
  <c r="O444" i="3"/>
  <c r="M444" i="3"/>
  <c r="K444" i="3"/>
  <c r="O443" i="3"/>
  <c r="M443" i="3"/>
  <c r="N443" i="3" s="1"/>
  <c r="P443" i="3" s="1"/>
  <c r="Q443" i="3" s="1"/>
  <c r="K443" i="3"/>
  <c r="O442" i="3"/>
  <c r="N442" i="3"/>
  <c r="P442" i="3" s="1"/>
  <c r="Q442" i="3" s="1"/>
  <c r="M442" i="3"/>
  <c r="K442" i="3"/>
  <c r="O441" i="3"/>
  <c r="M441" i="3"/>
  <c r="N441" i="3" s="1"/>
  <c r="P441" i="3" s="1"/>
  <c r="Q441" i="3" s="1"/>
  <c r="K441" i="3"/>
  <c r="O440" i="3"/>
  <c r="M440" i="3"/>
  <c r="K440" i="3"/>
  <c r="O439" i="3"/>
  <c r="P439" i="3" s="1"/>
  <c r="Q439" i="3" s="1"/>
  <c r="M439" i="3"/>
  <c r="N439" i="3" s="1"/>
  <c r="K439" i="3"/>
  <c r="O438" i="3"/>
  <c r="K438" i="3"/>
  <c r="O437" i="3"/>
  <c r="K437" i="3"/>
  <c r="O436" i="3"/>
  <c r="K436" i="3"/>
  <c r="M436" i="3" s="1"/>
  <c r="O435" i="3"/>
  <c r="M435" i="3"/>
  <c r="N435" i="3" s="1"/>
  <c r="P435" i="3" s="1"/>
  <c r="Q435" i="3" s="1"/>
  <c r="K435" i="3"/>
  <c r="Q434" i="3"/>
  <c r="P434" i="3"/>
  <c r="O434" i="3"/>
  <c r="M434" i="3"/>
  <c r="N434" i="3" s="1"/>
  <c r="K434" i="3"/>
  <c r="O433" i="3"/>
  <c r="M433" i="3"/>
  <c r="N433" i="3" s="1"/>
  <c r="P433" i="3" s="1"/>
  <c r="Q433" i="3" s="1"/>
  <c r="K433" i="3"/>
  <c r="O432" i="3"/>
  <c r="K432" i="3"/>
  <c r="O431" i="3"/>
  <c r="P431" i="3" s="1"/>
  <c r="Q431" i="3" s="1"/>
  <c r="M431" i="3"/>
  <c r="N431" i="3" s="1"/>
  <c r="K431" i="3"/>
  <c r="O430" i="3"/>
  <c r="K430" i="3"/>
  <c r="O429" i="3"/>
  <c r="K429" i="3"/>
  <c r="M429" i="3" s="1"/>
  <c r="N429" i="3" s="1"/>
  <c r="P429" i="3" s="1"/>
  <c r="Q429" i="3" s="1"/>
  <c r="O428" i="3"/>
  <c r="M428" i="3"/>
  <c r="N428" i="3" s="1"/>
  <c r="P428" i="3" s="1"/>
  <c r="Q428" i="3" s="1"/>
  <c r="K428" i="3"/>
  <c r="O427" i="3"/>
  <c r="N427" i="3"/>
  <c r="P427" i="3" s="1"/>
  <c r="Q427" i="3" s="1"/>
  <c r="M427" i="3"/>
  <c r="K427" i="3"/>
  <c r="O426" i="3"/>
  <c r="K426" i="3"/>
  <c r="M426" i="3" s="1"/>
  <c r="O425" i="3"/>
  <c r="M425" i="3"/>
  <c r="N425" i="3" s="1"/>
  <c r="P425" i="3" s="1"/>
  <c r="Q425" i="3" s="1"/>
  <c r="K425" i="3"/>
  <c r="O424" i="3"/>
  <c r="K424" i="3"/>
  <c r="O423" i="3"/>
  <c r="K423" i="3"/>
  <c r="O422" i="3"/>
  <c r="K422" i="3"/>
  <c r="O421" i="3"/>
  <c r="K421" i="3"/>
  <c r="O420" i="3"/>
  <c r="K420" i="3"/>
  <c r="O419" i="3"/>
  <c r="N419" i="3"/>
  <c r="P419" i="3" s="1"/>
  <c r="Q419" i="3" s="1"/>
  <c r="M419" i="3"/>
  <c r="K419" i="3"/>
  <c r="O418" i="3"/>
  <c r="M418" i="3"/>
  <c r="K418" i="3"/>
  <c r="N418" i="3" s="1"/>
  <c r="P418" i="3" s="1"/>
  <c r="Q418" i="3" s="1"/>
  <c r="O417" i="3"/>
  <c r="N417" i="3"/>
  <c r="P417" i="3" s="1"/>
  <c r="Q417" i="3" s="1"/>
  <c r="M417" i="3"/>
  <c r="K417" i="3"/>
  <c r="O416" i="3"/>
  <c r="M416" i="3"/>
  <c r="K416" i="3"/>
  <c r="O415" i="3"/>
  <c r="K415" i="3"/>
  <c r="M415" i="3" s="1"/>
  <c r="N415" i="3" s="1"/>
  <c r="P415" i="3" s="1"/>
  <c r="Q415" i="3" s="1"/>
  <c r="O414" i="3"/>
  <c r="K414" i="3"/>
  <c r="O413" i="3"/>
  <c r="K413" i="3"/>
  <c r="O412" i="3"/>
  <c r="K412" i="3"/>
  <c r="Q411" i="3"/>
  <c r="O411" i="3"/>
  <c r="M411" i="3"/>
  <c r="N411" i="3" s="1"/>
  <c r="P411" i="3" s="1"/>
  <c r="K411" i="3"/>
  <c r="Q410" i="3"/>
  <c r="O410" i="3"/>
  <c r="N410" i="3"/>
  <c r="P410" i="3" s="1"/>
  <c r="M410" i="3"/>
  <c r="K410" i="3"/>
  <c r="O409" i="3"/>
  <c r="M409" i="3"/>
  <c r="N409" i="3" s="1"/>
  <c r="P409" i="3" s="1"/>
  <c r="Q409" i="3" s="1"/>
  <c r="K409" i="3"/>
  <c r="O408" i="3"/>
  <c r="K408" i="3"/>
  <c r="O407" i="3"/>
  <c r="M407" i="3"/>
  <c r="K407" i="3"/>
  <c r="O406" i="3"/>
  <c r="K406" i="3"/>
  <c r="O405" i="3"/>
  <c r="K405" i="3"/>
  <c r="O404" i="3"/>
  <c r="M404" i="3"/>
  <c r="N404" i="3" s="1"/>
  <c r="P404" i="3" s="1"/>
  <c r="Q404" i="3" s="1"/>
  <c r="K404" i="3"/>
  <c r="O403" i="3"/>
  <c r="M403" i="3"/>
  <c r="N403" i="3" s="1"/>
  <c r="P403" i="3" s="1"/>
  <c r="Q403" i="3" s="1"/>
  <c r="K403" i="3"/>
  <c r="O402" i="3"/>
  <c r="M402" i="3"/>
  <c r="K402" i="3"/>
  <c r="O401" i="3"/>
  <c r="N401" i="3"/>
  <c r="P401" i="3" s="1"/>
  <c r="Q401" i="3" s="1"/>
  <c r="M401" i="3"/>
  <c r="K401" i="3"/>
  <c r="O400" i="3"/>
  <c r="K400" i="3"/>
  <c r="O399" i="3"/>
  <c r="K399" i="3"/>
  <c r="O398" i="3"/>
  <c r="K398" i="3"/>
  <c r="O397" i="3"/>
  <c r="K397" i="3"/>
  <c r="M397" i="3" s="1"/>
  <c r="N397" i="3" s="1"/>
  <c r="P397" i="3" s="1"/>
  <c r="Q397" i="3" s="1"/>
  <c r="O396" i="3"/>
  <c r="N396" i="3"/>
  <c r="P396" i="3" s="1"/>
  <c r="Q396" i="3" s="1"/>
  <c r="K396" i="3"/>
  <c r="M396" i="3" s="1"/>
  <c r="O395" i="3"/>
  <c r="M395" i="3"/>
  <c r="N395" i="3" s="1"/>
  <c r="P395" i="3" s="1"/>
  <c r="Q395" i="3" s="1"/>
  <c r="K395" i="3"/>
  <c r="O394" i="3"/>
  <c r="K394" i="3"/>
  <c r="P393" i="3"/>
  <c r="Q393" i="3" s="1"/>
  <c r="O393" i="3"/>
  <c r="M393" i="3"/>
  <c r="N393" i="3" s="1"/>
  <c r="K393" i="3"/>
  <c r="O392" i="3"/>
  <c r="M392" i="3"/>
  <c r="K392" i="3"/>
  <c r="O391" i="3"/>
  <c r="K391" i="3"/>
  <c r="O390" i="3"/>
  <c r="K390" i="3"/>
  <c r="O389" i="3"/>
  <c r="M389" i="3"/>
  <c r="K389" i="3"/>
  <c r="O388" i="3"/>
  <c r="K388" i="3"/>
  <c r="M388" i="3" s="1"/>
  <c r="N388" i="3" s="1"/>
  <c r="P388" i="3" s="1"/>
  <c r="Q388" i="3" s="1"/>
  <c r="O387" i="3"/>
  <c r="M387" i="3"/>
  <c r="N387" i="3" s="1"/>
  <c r="P387" i="3" s="1"/>
  <c r="Q387" i="3" s="1"/>
  <c r="K387" i="3"/>
  <c r="O386" i="3"/>
  <c r="M386" i="3"/>
  <c r="K386" i="3"/>
  <c r="O385" i="3"/>
  <c r="M385" i="3"/>
  <c r="N385" i="3" s="1"/>
  <c r="P385" i="3" s="1"/>
  <c r="Q385" i="3" s="1"/>
  <c r="K385" i="3"/>
  <c r="O384" i="3"/>
  <c r="M384" i="3"/>
  <c r="K384" i="3"/>
  <c r="O383" i="3"/>
  <c r="K383" i="3"/>
  <c r="O382" i="3"/>
  <c r="K382" i="3"/>
  <c r="O381" i="3"/>
  <c r="M381" i="3"/>
  <c r="N381" i="3" s="1"/>
  <c r="P381" i="3" s="1"/>
  <c r="Q381" i="3" s="1"/>
  <c r="K381" i="3"/>
  <c r="O380" i="3"/>
  <c r="N380" i="3"/>
  <c r="P380" i="3" s="1"/>
  <c r="Q380" i="3" s="1"/>
  <c r="K380" i="3"/>
  <c r="M380" i="3" s="1"/>
  <c r="Q379" i="3"/>
  <c r="O379" i="3"/>
  <c r="K379" i="3"/>
  <c r="M379" i="3" s="1"/>
  <c r="N379" i="3" s="1"/>
  <c r="P379" i="3" s="1"/>
  <c r="O378" i="3"/>
  <c r="N378" i="3"/>
  <c r="P378" i="3" s="1"/>
  <c r="Q378" i="3" s="1"/>
  <c r="K378" i="3"/>
  <c r="M378" i="3" s="1"/>
  <c r="O377" i="3"/>
  <c r="P377" i="3" s="1"/>
  <c r="Q377" i="3" s="1"/>
  <c r="N377" i="3"/>
  <c r="M377" i="3"/>
  <c r="K377" i="3"/>
  <c r="O376" i="3"/>
  <c r="K376" i="3"/>
  <c r="O375" i="3"/>
  <c r="M375" i="3"/>
  <c r="K375" i="3"/>
  <c r="O374" i="3"/>
  <c r="K374" i="3"/>
  <c r="O373" i="3"/>
  <c r="K373" i="3"/>
  <c r="O372" i="3"/>
  <c r="K372" i="3"/>
  <c r="O371" i="3"/>
  <c r="K371" i="3"/>
  <c r="M371" i="3" s="1"/>
  <c r="O370" i="3"/>
  <c r="K370" i="3"/>
  <c r="M370" i="3" s="1"/>
  <c r="O369" i="3"/>
  <c r="N369" i="3"/>
  <c r="P369" i="3" s="1"/>
  <c r="Q369" i="3" s="1"/>
  <c r="M369" i="3"/>
  <c r="K369" i="3"/>
  <c r="O368" i="3"/>
  <c r="M368" i="3"/>
  <c r="K368" i="3"/>
  <c r="N368" i="3" s="1"/>
  <c r="P368" i="3" s="1"/>
  <c r="Q368" i="3" s="1"/>
  <c r="Q367" i="3"/>
  <c r="O367" i="3"/>
  <c r="N367" i="3"/>
  <c r="P367" i="3" s="1"/>
  <c r="K367" i="3"/>
  <c r="M367" i="3" s="1"/>
  <c r="O366" i="3"/>
  <c r="K366" i="3"/>
  <c r="O365" i="3"/>
  <c r="K365" i="3"/>
  <c r="M365" i="3" s="1"/>
  <c r="Q364" i="3"/>
  <c r="O364" i="3"/>
  <c r="M364" i="3"/>
  <c r="K364" i="3"/>
  <c r="N364" i="3" s="1"/>
  <c r="P364" i="3" s="1"/>
  <c r="O363" i="3"/>
  <c r="M363" i="3"/>
  <c r="K363" i="3"/>
  <c r="O362" i="3"/>
  <c r="K362" i="3"/>
  <c r="O361" i="3"/>
  <c r="M361" i="3"/>
  <c r="N361" i="3" s="1"/>
  <c r="P361" i="3" s="1"/>
  <c r="Q361" i="3" s="1"/>
  <c r="K361" i="3"/>
  <c r="O360" i="3"/>
  <c r="K360" i="3"/>
  <c r="O359" i="3"/>
  <c r="M359" i="3"/>
  <c r="N359" i="3" s="1"/>
  <c r="P359" i="3" s="1"/>
  <c r="Q359" i="3" s="1"/>
  <c r="K359" i="3"/>
  <c r="O358" i="3"/>
  <c r="K358" i="3"/>
  <c r="O357" i="3"/>
  <c r="K357" i="3"/>
  <c r="M357" i="3" s="1"/>
  <c r="N357" i="3" s="1"/>
  <c r="P357" i="3" s="1"/>
  <c r="Q357" i="3" s="1"/>
  <c r="O356" i="3"/>
  <c r="N356" i="3"/>
  <c r="P356" i="3" s="1"/>
  <c r="Q356" i="3" s="1"/>
  <c r="M356" i="3"/>
  <c r="K356" i="3"/>
  <c r="O355" i="3"/>
  <c r="N355" i="3"/>
  <c r="P355" i="3" s="1"/>
  <c r="Q355" i="3" s="1"/>
  <c r="K355" i="3"/>
  <c r="M355" i="3" s="1"/>
  <c r="O354" i="3"/>
  <c r="K354" i="3"/>
  <c r="M354" i="3" s="1"/>
  <c r="N354" i="3" s="1"/>
  <c r="P354" i="3" s="1"/>
  <c r="Q354" i="3" s="1"/>
  <c r="O353" i="3"/>
  <c r="N353" i="3"/>
  <c r="P353" i="3" s="1"/>
  <c r="Q353" i="3" s="1"/>
  <c r="M353" i="3"/>
  <c r="K353" i="3"/>
  <c r="O352" i="3"/>
  <c r="M352" i="3"/>
  <c r="N352" i="3" s="1"/>
  <c r="P352" i="3" s="1"/>
  <c r="Q352" i="3" s="1"/>
  <c r="K352" i="3"/>
  <c r="O351" i="3"/>
  <c r="K351" i="3"/>
  <c r="O350" i="3"/>
  <c r="K350" i="3"/>
  <c r="O349" i="3"/>
  <c r="K349" i="3"/>
  <c r="M349" i="3" s="1"/>
  <c r="N349" i="3" s="1"/>
  <c r="P349" i="3" s="1"/>
  <c r="Q349" i="3" s="1"/>
  <c r="O348" i="3"/>
  <c r="N348" i="3"/>
  <c r="P348" i="3" s="1"/>
  <c r="Q348" i="3" s="1"/>
  <c r="K348" i="3"/>
  <c r="M348" i="3" s="1"/>
  <c r="Q347" i="3"/>
  <c r="O347" i="3"/>
  <c r="K347" i="3"/>
  <c r="M347" i="3" s="1"/>
  <c r="N347" i="3" s="1"/>
  <c r="P347" i="3" s="1"/>
  <c r="O346" i="3"/>
  <c r="M346" i="3"/>
  <c r="K346" i="3"/>
  <c r="N346" i="3" s="1"/>
  <c r="P346" i="3" s="1"/>
  <c r="Q346" i="3" s="1"/>
  <c r="O345" i="3"/>
  <c r="P345" i="3" s="1"/>
  <c r="Q345" i="3" s="1"/>
  <c r="N345" i="3"/>
  <c r="M345" i="3"/>
  <c r="K345" i="3"/>
  <c r="O344" i="3"/>
  <c r="K344" i="3"/>
  <c r="O343" i="3"/>
  <c r="K343" i="3"/>
  <c r="O342" i="3"/>
  <c r="K342" i="3"/>
  <c r="O341" i="3"/>
  <c r="K341" i="3"/>
  <c r="O340" i="3"/>
  <c r="K340" i="3"/>
  <c r="O339" i="3"/>
  <c r="K339" i="3"/>
  <c r="O338" i="3"/>
  <c r="K338" i="3"/>
  <c r="O337" i="3"/>
  <c r="M337" i="3"/>
  <c r="N337" i="3" s="1"/>
  <c r="P337" i="3" s="1"/>
  <c r="Q337" i="3" s="1"/>
  <c r="K337" i="3"/>
  <c r="O336" i="3"/>
  <c r="M336" i="3"/>
  <c r="N336" i="3" s="1"/>
  <c r="P336" i="3" s="1"/>
  <c r="Q336" i="3" s="1"/>
  <c r="K336" i="3"/>
  <c r="O335" i="3"/>
  <c r="K335" i="3"/>
  <c r="O334" i="3"/>
  <c r="K334" i="3"/>
  <c r="O333" i="3"/>
  <c r="K333" i="3"/>
  <c r="M333" i="3" s="1"/>
  <c r="O332" i="3"/>
  <c r="K332" i="3"/>
  <c r="M332" i="3" s="1"/>
  <c r="N332" i="3" s="1"/>
  <c r="P332" i="3" s="1"/>
  <c r="Q332" i="3" s="1"/>
  <c r="O331" i="3"/>
  <c r="M331" i="3"/>
  <c r="N331" i="3" s="1"/>
  <c r="P331" i="3" s="1"/>
  <c r="Q331" i="3" s="1"/>
  <c r="K331" i="3"/>
  <c r="O330" i="3"/>
  <c r="K330" i="3"/>
  <c r="O329" i="3"/>
  <c r="N329" i="3"/>
  <c r="P329" i="3" s="1"/>
  <c r="Q329" i="3" s="1"/>
  <c r="M329" i="3"/>
  <c r="K329" i="3"/>
  <c r="O328" i="3"/>
  <c r="K328" i="3"/>
  <c r="O327" i="3"/>
  <c r="M327" i="3"/>
  <c r="N327" i="3" s="1"/>
  <c r="P327" i="3" s="1"/>
  <c r="Q327" i="3" s="1"/>
  <c r="K327" i="3"/>
  <c r="O326" i="3"/>
  <c r="K326" i="3"/>
  <c r="O325" i="3"/>
  <c r="N325" i="3"/>
  <c r="P325" i="3" s="1"/>
  <c r="Q325" i="3" s="1"/>
  <c r="M325" i="3"/>
  <c r="K325" i="3"/>
  <c r="O324" i="3"/>
  <c r="M324" i="3"/>
  <c r="N324" i="3" s="1"/>
  <c r="P324" i="3" s="1"/>
  <c r="Q324" i="3" s="1"/>
  <c r="K324" i="3"/>
  <c r="O323" i="3"/>
  <c r="K323" i="3"/>
  <c r="O322" i="3"/>
  <c r="N322" i="3"/>
  <c r="P322" i="3" s="1"/>
  <c r="Q322" i="3" s="1"/>
  <c r="M322" i="3"/>
  <c r="K322" i="3"/>
  <c r="O321" i="3"/>
  <c r="N321" i="3"/>
  <c r="M321" i="3"/>
  <c r="K321" i="3"/>
  <c r="O320" i="3"/>
  <c r="M320" i="3"/>
  <c r="K320" i="3"/>
  <c r="N320" i="3" s="1"/>
  <c r="P320" i="3" s="1"/>
  <c r="Q320" i="3" s="1"/>
  <c r="O319" i="3"/>
  <c r="K319" i="3"/>
  <c r="O318" i="3"/>
  <c r="K318" i="3"/>
  <c r="O317" i="3"/>
  <c r="N317" i="3"/>
  <c r="P317" i="3" s="1"/>
  <c r="Q317" i="3" s="1"/>
  <c r="M317" i="3"/>
  <c r="K317" i="3"/>
  <c r="O316" i="3"/>
  <c r="N316" i="3"/>
  <c r="P316" i="3" s="1"/>
  <c r="Q316" i="3" s="1"/>
  <c r="M316" i="3"/>
  <c r="K316" i="3"/>
  <c r="O315" i="3"/>
  <c r="K315" i="3"/>
  <c r="M315" i="3" s="1"/>
  <c r="N315" i="3" s="1"/>
  <c r="P315" i="3" s="1"/>
  <c r="Q315" i="3" s="1"/>
  <c r="O314" i="3"/>
  <c r="N314" i="3"/>
  <c r="P314" i="3" s="1"/>
  <c r="Q314" i="3" s="1"/>
  <c r="K314" i="3"/>
  <c r="M314" i="3" s="1"/>
  <c r="Q313" i="3"/>
  <c r="O313" i="3"/>
  <c r="N313" i="3"/>
  <c r="P313" i="3" s="1"/>
  <c r="M313" i="3"/>
  <c r="K313" i="3"/>
  <c r="O312" i="3"/>
  <c r="M312" i="3"/>
  <c r="K312" i="3"/>
  <c r="O311" i="3"/>
  <c r="K311" i="3"/>
  <c r="M311" i="3" s="1"/>
  <c r="O310" i="3"/>
  <c r="K310" i="3"/>
  <c r="O309" i="3"/>
  <c r="K309" i="3"/>
  <c r="O308" i="3"/>
  <c r="K308" i="3"/>
  <c r="M308" i="3" s="1"/>
  <c r="N308" i="3" s="1"/>
  <c r="P308" i="3" s="1"/>
  <c r="Q308" i="3" s="1"/>
  <c r="O307" i="3"/>
  <c r="K307" i="3"/>
  <c r="O306" i="3"/>
  <c r="K306" i="3"/>
  <c r="M306" i="3" s="1"/>
  <c r="P305" i="3"/>
  <c r="Q305" i="3" s="1"/>
  <c r="O305" i="3"/>
  <c r="N305" i="3"/>
  <c r="M305" i="3"/>
  <c r="K305" i="3"/>
  <c r="O304" i="3"/>
  <c r="M304" i="3"/>
  <c r="K304" i="3"/>
  <c r="N304" i="3" s="1"/>
  <c r="P304" i="3" s="1"/>
  <c r="Q304" i="3" s="1"/>
  <c r="O303" i="3"/>
  <c r="K303" i="3"/>
  <c r="M303" i="3" s="1"/>
  <c r="O302" i="3"/>
  <c r="K302" i="3"/>
  <c r="O301" i="3"/>
  <c r="K301" i="3"/>
  <c r="O300" i="3"/>
  <c r="K300" i="3"/>
  <c r="O299" i="3"/>
  <c r="M299" i="3"/>
  <c r="K299" i="3"/>
  <c r="O298" i="3"/>
  <c r="K298" i="3"/>
  <c r="O297" i="3"/>
  <c r="N297" i="3"/>
  <c r="P297" i="3" s="1"/>
  <c r="Q297" i="3" s="1"/>
  <c r="M297" i="3"/>
  <c r="K297" i="3"/>
  <c r="O296" i="3"/>
  <c r="M296" i="3"/>
  <c r="K296" i="3"/>
  <c r="N296" i="3" s="1"/>
  <c r="O295" i="3"/>
  <c r="P295" i="3" s="1"/>
  <c r="Q295" i="3" s="1"/>
  <c r="M295" i="3"/>
  <c r="N295" i="3" s="1"/>
  <c r="K295" i="3"/>
  <c r="O294" i="3"/>
  <c r="K294" i="3"/>
  <c r="O293" i="3"/>
  <c r="K293" i="3"/>
  <c r="P292" i="3"/>
  <c r="Q292" i="3" s="1"/>
  <c r="O292" i="3"/>
  <c r="M292" i="3"/>
  <c r="N292" i="3" s="1"/>
  <c r="K292" i="3"/>
  <c r="O291" i="3"/>
  <c r="K291" i="3"/>
  <c r="P290" i="3"/>
  <c r="Q290" i="3" s="1"/>
  <c r="O290" i="3"/>
  <c r="N290" i="3"/>
  <c r="M290" i="3"/>
  <c r="K290" i="3"/>
  <c r="Q289" i="3"/>
  <c r="P289" i="3"/>
  <c r="O289" i="3"/>
  <c r="N289" i="3"/>
  <c r="M289" i="3"/>
  <c r="K289" i="3"/>
  <c r="O288" i="3"/>
  <c r="M288" i="3"/>
  <c r="K288" i="3"/>
  <c r="O287" i="3"/>
  <c r="M287" i="3"/>
  <c r="N287" i="3" s="1"/>
  <c r="P287" i="3" s="1"/>
  <c r="Q287" i="3" s="1"/>
  <c r="K287" i="3"/>
  <c r="O286" i="3"/>
  <c r="K286" i="3"/>
  <c r="O285" i="3"/>
  <c r="K285" i="3"/>
  <c r="O284" i="3"/>
  <c r="K284" i="3"/>
  <c r="M284" i="3" s="1"/>
  <c r="O283" i="3"/>
  <c r="K283" i="3"/>
  <c r="O282" i="3"/>
  <c r="K282" i="3"/>
  <c r="P281" i="3"/>
  <c r="Q281" i="3" s="1"/>
  <c r="O281" i="3"/>
  <c r="N281" i="3"/>
  <c r="M281" i="3"/>
  <c r="K281" i="3"/>
  <c r="O280" i="3"/>
  <c r="K280" i="3"/>
  <c r="O279" i="3"/>
  <c r="K279" i="3"/>
  <c r="O278" i="3"/>
  <c r="K278" i="3"/>
  <c r="O277" i="3"/>
  <c r="K277" i="3"/>
  <c r="O276" i="3"/>
  <c r="K276" i="3"/>
  <c r="O275" i="3"/>
  <c r="K275" i="3"/>
  <c r="M275" i="3" s="1"/>
  <c r="O274" i="3"/>
  <c r="K274" i="3"/>
  <c r="O273" i="3"/>
  <c r="M273" i="3"/>
  <c r="N273" i="3" s="1"/>
  <c r="P273" i="3" s="1"/>
  <c r="Q273" i="3" s="1"/>
  <c r="K273" i="3"/>
  <c r="O272" i="3"/>
  <c r="K272" i="3"/>
  <c r="O271" i="3"/>
  <c r="K271" i="3"/>
  <c r="O270" i="3"/>
  <c r="K270" i="3"/>
  <c r="O269" i="3"/>
  <c r="M269" i="3"/>
  <c r="N269" i="3" s="1"/>
  <c r="P269" i="3" s="1"/>
  <c r="Q269" i="3" s="1"/>
  <c r="K269" i="3"/>
  <c r="O268" i="3"/>
  <c r="K268" i="3"/>
  <c r="M268" i="3" s="1"/>
  <c r="N268" i="3" s="1"/>
  <c r="P268" i="3" s="1"/>
  <c r="Q268" i="3" s="1"/>
  <c r="Q267" i="3"/>
  <c r="O267" i="3"/>
  <c r="M267" i="3"/>
  <c r="N267" i="3" s="1"/>
  <c r="P267" i="3" s="1"/>
  <c r="K267" i="3"/>
  <c r="O266" i="3"/>
  <c r="M266" i="3"/>
  <c r="K266" i="3"/>
  <c r="N266" i="3" s="1"/>
  <c r="P266" i="3" s="1"/>
  <c r="Q266" i="3" s="1"/>
  <c r="O265" i="3"/>
  <c r="N265" i="3"/>
  <c r="P265" i="3" s="1"/>
  <c r="Q265" i="3" s="1"/>
  <c r="M265" i="3"/>
  <c r="K265" i="3"/>
  <c r="P264" i="3"/>
  <c r="Q264" i="3" s="1"/>
  <c r="O264" i="3"/>
  <c r="M264" i="3"/>
  <c r="N264" i="3" s="1"/>
  <c r="K264" i="3"/>
  <c r="O263" i="3"/>
  <c r="N263" i="3"/>
  <c r="P263" i="3" s="1"/>
  <c r="Q263" i="3" s="1"/>
  <c r="M263" i="3"/>
  <c r="K263" i="3"/>
  <c r="O262" i="3"/>
  <c r="K262" i="3"/>
  <c r="O261" i="3"/>
  <c r="M261" i="3"/>
  <c r="N261" i="3" s="1"/>
  <c r="P261" i="3" s="1"/>
  <c r="Q261" i="3" s="1"/>
  <c r="K261" i="3"/>
  <c r="P260" i="3"/>
  <c r="Q260" i="3" s="1"/>
  <c r="O260" i="3"/>
  <c r="N260" i="3"/>
  <c r="M260" i="3"/>
  <c r="K260" i="3"/>
  <c r="O259" i="3"/>
  <c r="K259" i="3"/>
  <c r="M259" i="3" s="1"/>
  <c r="N259" i="3" s="1"/>
  <c r="P259" i="3" s="1"/>
  <c r="Q259" i="3" s="1"/>
  <c r="O258" i="3"/>
  <c r="K258" i="3"/>
  <c r="O257" i="3"/>
  <c r="N257" i="3"/>
  <c r="P257" i="3" s="1"/>
  <c r="Q257" i="3" s="1"/>
  <c r="M257" i="3"/>
  <c r="K257" i="3"/>
  <c r="O256" i="3"/>
  <c r="K256" i="3"/>
  <c r="O255" i="3"/>
  <c r="K255" i="3"/>
  <c r="O254" i="3"/>
  <c r="K254" i="3"/>
  <c r="O253" i="3"/>
  <c r="K253" i="3"/>
  <c r="O252" i="3"/>
  <c r="K252" i="3"/>
  <c r="O251" i="3"/>
  <c r="K251" i="3"/>
  <c r="M251" i="3" s="1"/>
  <c r="O250" i="3"/>
  <c r="K250" i="3"/>
  <c r="O249" i="3"/>
  <c r="M249" i="3"/>
  <c r="N249" i="3" s="1"/>
  <c r="P249" i="3" s="1"/>
  <c r="Q249" i="3" s="1"/>
  <c r="K249" i="3"/>
  <c r="O248" i="3"/>
  <c r="K248" i="3"/>
  <c r="M248" i="3" s="1"/>
  <c r="O247" i="3"/>
  <c r="K247" i="3"/>
  <c r="O246" i="3"/>
  <c r="K246" i="3"/>
  <c r="O245" i="3"/>
  <c r="K245" i="3"/>
  <c r="O244" i="3"/>
  <c r="K244" i="3"/>
  <c r="M244" i="3" s="1"/>
  <c r="N244" i="3" s="1"/>
  <c r="P244" i="3" s="1"/>
  <c r="Q244" i="3" s="1"/>
  <c r="O243" i="3"/>
  <c r="M243" i="3"/>
  <c r="N243" i="3" s="1"/>
  <c r="P243" i="3" s="1"/>
  <c r="Q243" i="3" s="1"/>
  <c r="K243" i="3"/>
  <c r="O242" i="3"/>
  <c r="M242" i="3"/>
  <c r="K242" i="3"/>
  <c r="O241" i="3"/>
  <c r="M241" i="3"/>
  <c r="N241" i="3" s="1"/>
  <c r="P241" i="3" s="1"/>
  <c r="Q241" i="3" s="1"/>
  <c r="K241" i="3"/>
  <c r="O240" i="3"/>
  <c r="K240" i="3"/>
  <c r="O239" i="3"/>
  <c r="K239" i="3"/>
  <c r="O238" i="3"/>
  <c r="K238" i="3"/>
  <c r="O237" i="3"/>
  <c r="M237" i="3"/>
  <c r="N237" i="3" s="1"/>
  <c r="P237" i="3" s="1"/>
  <c r="Q237" i="3" s="1"/>
  <c r="K237" i="3"/>
  <c r="O236" i="3"/>
  <c r="M236" i="3"/>
  <c r="N236" i="3" s="1"/>
  <c r="P236" i="3" s="1"/>
  <c r="Q236" i="3" s="1"/>
  <c r="K236" i="3"/>
  <c r="O235" i="3"/>
  <c r="M235" i="3"/>
  <c r="N235" i="3" s="1"/>
  <c r="P235" i="3" s="1"/>
  <c r="Q235" i="3" s="1"/>
  <c r="K235" i="3"/>
  <c r="P234" i="3"/>
  <c r="Q234" i="3" s="1"/>
  <c r="O234" i="3"/>
  <c r="M234" i="3"/>
  <c r="N234" i="3" s="1"/>
  <c r="K234" i="3"/>
  <c r="O233" i="3"/>
  <c r="M233" i="3"/>
  <c r="N233" i="3" s="1"/>
  <c r="P233" i="3" s="1"/>
  <c r="Q233" i="3" s="1"/>
  <c r="K233" i="3"/>
  <c r="O232" i="3"/>
  <c r="M232" i="3"/>
  <c r="N232" i="3" s="1"/>
  <c r="P232" i="3" s="1"/>
  <c r="Q232" i="3" s="1"/>
  <c r="K232" i="3"/>
  <c r="P231" i="3"/>
  <c r="Q231" i="3" s="1"/>
  <c r="O231" i="3"/>
  <c r="M231" i="3"/>
  <c r="N231" i="3" s="1"/>
  <c r="K231" i="3"/>
  <c r="O230" i="3"/>
  <c r="K230" i="3"/>
  <c r="O229" i="3"/>
  <c r="N229" i="3"/>
  <c r="P229" i="3" s="1"/>
  <c r="Q229" i="3" s="1"/>
  <c r="M229" i="3"/>
  <c r="K229" i="3"/>
  <c r="O228" i="3"/>
  <c r="M228" i="3"/>
  <c r="N228" i="3" s="1"/>
  <c r="P228" i="3" s="1"/>
  <c r="Q228" i="3" s="1"/>
  <c r="K228" i="3"/>
  <c r="O227" i="3"/>
  <c r="K227" i="3"/>
  <c r="O226" i="3"/>
  <c r="K226" i="3"/>
  <c r="M226" i="3" s="1"/>
  <c r="N226" i="3" s="1"/>
  <c r="P226" i="3" s="1"/>
  <c r="Q226" i="3" s="1"/>
  <c r="Q225" i="3"/>
  <c r="O225" i="3"/>
  <c r="N225" i="3"/>
  <c r="P225" i="3" s="1"/>
  <c r="M225" i="3"/>
  <c r="K225" i="3"/>
  <c r="O224" i="3"/>
  <c r="K224" i="3"/>
  <c r="O223" i="3"/>
  <c r="K223" i="3"/>
  <c r="O222" i="3"/>
  <c r="K222" i="3"/>
  <c r="O221" i="3"/>
  <c r="M221" i="3"/>
  <c r="N221" i="3" s="1"/>
  <c r="P221" i="3" s="1"/>
  <c r="Q221" i="3" s="1"/>
  <c r="K221" i="3"/>
  <c r="O220" i="3"/>
  <c r="K220" i="3"/>
  <c r="O219" i="3"/>
  <c r="K219" i="3"/>
  <c r="O218" i="3"/>
  <c r="M218" i="3"/>
  <c r="N218" i="3" s="1"/>
  <c r="P218" i="3" s="1"/>
  <c r="Q218" i="3" s="1"/>
  <c r="K218" i="3"/>
  <c r="P217" i="3"/>
  <c r="Q217" i="3" s="1"/>
  <c r="O217" i="3"/>
  <c r="M217" i="3"/>
  <c r="N217" i="3" s="1"/>
  <c r="K217" i="3"/>
  <c r="O216" i="3"/>
  <c r="K216" i="3"/>
  <c r="O215" i="3"/>
  <c r="K215" i="3"/>
  <c r="M215" i="3" s="1"/>
  <c r="N215" i="3" s="1"/>
  <c r="P215" i="3" s="1"/>
  <c r="Q215" i="3" s="1"/>
  <c r="O214" i="3"/>
  <c r="K214" i="3"/>
  <c r="O213" i="3"/>
  <c r="M213" i="3"/>
  <c r="K213" i="3"/>
  <c r="O212" i="3"/>
  <c r="M212" i="3"/>
  <c r="N212" i="3" s="1"/>
  <c r="P212" i="3" s="1"/>
  <c r="Q212" i="3" s="1"/>
  <c r="K212" i="3"/>
  <c r="O211" i="3"/>
  <c r="M211" i="3"/>
  <c r="K211" i="3"/>
  <c r="O210" i="3"/>
  <c r="K210" i="3"/>
  <c r="O209" i="3"/>
  <c r="M209" i="3"/>
  <c r="N209" i="3" s="1"/>
  <c r="P209" i="3" s="1"/>
  <c r="Q209" i="3" s="1"/>
  <c r="K209" i="3"/>
  <c r="O208" i="3"/>
  <c r="N208" i="3"/>
  <c r="P208" i="3" s="1"/>
  <c r="Q208" i="3" s="1"/>
  <c r="M208" i="3"/>
  <c r="K208" i="3"/>
  <c r="O207" i="3"/>
  <c r="M207" i="3"/>
  <c r="N207" i="3" s="1"/>
  <c r="P207" i="3" s="1"/>
  <c r="Q207" i="3" s="1"/>
  <c r="K207" i="3"/>
  <c r="O206" i="3"/>
  <c r="K206" i="3"/>
  <c r="Q205" i="3"/>
  <c r="O205" i="3"/>
  <c r="N205" i="3"/>
  <c r="P205" i="3" s="1"/>
  <c r="M205" i="3"/>
  <c r="K205" i="3"/>
  <c r="O204" i="3"/>
  <c r="K204" i="3"/>
  <c r="O203" i="3"/>
  <c r="K203" i="3"/>
  <c r="O202" i="3"/>
  <c r="K202" i="3"/>
  <c r="P201" i="3"/>
  <c r="Q201" i="3" s="1"/>
  <c r="O201" i="3"/>
  <c r="M201" i="3"/>
  <c r="N201" i="3" s="1"/>
  <c r="K201" i="3"/>
  <c r="O200" i="3"/>
  <c r="M200" i="3"/>
  <c r="N200" i="3" s="1"/>
  <c r="P200" i="3" s="1"/>
  <c r="Q200" i="3" s="1"/>
  <c r="K200" i="3"/>
  <c r="P199" i="3"/>
  <c r="Q199" i="3" s="1"/>
  <c r="O199" i="3"/>
  <c r="M199" i="3"/>
  <c r="N199" i="3" s="1"/>
  <c r="K199" i="3"/>
  <c r="O198" i="3"/>
  <c r="K198" i="3"/>
  <c r="P197" i="3"/>
  <c r="Q197" i="3" s="1"/>
  <c r="O197" i="3"/>
  <c r="N197" i="3"/>
  <c r="M197" i="3"/>
  <c r="K197" i="3"/>
  <c r="O196" i="3"/>
  <c r="M196" i="3"/>
  <c r="N196" i="3" s="1"/>
  <c r="P196" i="3" s="1"/>
  <c r="Q196" i="3" s="1"/>
  <c r="K196" i="3"/>
  <c r="O195" i="3"/>
  <c r="K195" i="3"/>
  <c r="M195" i="3" s="1"/>
  <c r="O194" i="3"/>
  <c r="K194" i="3"/>
  <c r="M194" i="3" s="1"/>
  <c r="N194" i="3" s="1"/>
  <c r="P194" i="3" s="1"/>
  <c r="Q194" i="3" s="1"/>
  <c r="Q193" i="3"/>
  <c r="O193" i="3"/>
  <c r="N193" i="3"/>
  <c r="P193" i="3" s="1"/>
  <c r="M193" i="3"/>
  <c r="K193" i="3"/>
  <c r="O192" i="3"/>
  <c r="M192" i="3"/>
  <c r="N192" i="3" s="1"/>
  <c r="P192" i="3" s="1"/>
  <c r="Q192" i="3" s="1"/>
  <c r="K192" i="3"/>
  <c r="O191" i="3"/>
  <c r="K191" i="3"/>
  <c r="O190" i="3"/>
  <c r="K190" i="3"/>
  <c r="O189" i="3"/>
  <c r="M189" i="3"/>
  <c r="N189" i="3" s="1"/>
  <c r="P189" i="3" s="1"/>
  <c r="Q189" i="3" s="1"/>
  <c r="K189" i="3"/>
  <c r="O188" i="3"/>
  <c r="K188" i="3"/>
  <c r="O187" i="3"/>
  <c r="K187" i="3"/>
  <c r="O186" i="3"/>
  <c r="K186" i="3"/>
  <c r="P185" i="3"/>
  <c r="Q185" i="3" s="1"/>
  <c r="O185" i="3"/>
  <c r="M185" i="3"/>
  <c r="N185" i="3" s="1"/>
  <c r="K185" i="3"/>
  <c r="O184" i="3"/>
  <c r="M184" i="3"/>
  <c r="K184" i="3"/>
  <c r="O183" i="3"/>
  <c r="K183" i="3"/>
  <c r="O182" i="3"/>
  <c r="K182" i="3"/>
  <c r="O181" i="3"/>
  <c r="M181" i="3"/>
  <c r="K181" i="3"/>
  <c r="O180" i="3"/>
  <c r="M180" i="3"/>
  <c r="K180" i="3"/>
  <c r="N180" i="3" s="1"/>
  <c r="P180" i="3" s="1"/>
  <c r="Q180" i="3" s="1"/>
  <c r="O179" i="3"/>
  <c r="M179" i="3"/>
  <c r="K179" i="3"/>
  <c r="O178" i="3"/>
  <c r="K178" i="3"/>
  <c r="O177" i="3"/>
  <c r="M177" i="3"/>
  <c r="N177" i="3" s="1"/>
  <c r="P177" i="3" s="1"/>
  <c r="Q177" i="3" s="1"/>
  <c r="K177" i="3"/>
  <c r="O176" i="3"/>
  <c r="N176" i="3"/>
  <c r="P176" i="3" s="1"/>
  <c r="Q176" i="3" s="1"/>
  <c r="M176" i="3"/>
  <c r="K176" i="3"/>
  <c r="O175" i="3"/>
  <c r="M175" i="3"/>
  <c r="N175" i="3" s="1"/>
  <c r="P175" i="3" s="1"/>
  <c r="Q175" i="3" s="1"/>
  <c r="K175" i="3"/>
  <c r="O174" i="3"/>
  <c r="K174" i="3"/>
  <c r="O173" i="3"/>
  <c r="N173" i="3"/>
  <c r="P173" i="3" s="1"/>
  <c r="Q173" i="3" s="1"/>
  <c r="M173" i="3"/>
  <c r="K173" i="3"/>
  <c r="O172" i="3"/>
  <c r="K172" i="3"/>
  <c r="O171" i="3"/>
  <c r="M171" i="3"/>
  <c r="N171" i="3" s="1"/>
  <c r="P171" i="3" s="1"/>
  <c r="Q171" i="3" s="1"/>
  <c r="K171" i="3"/>
  <c r="O170" i="3"/>
  <c r="K170" i="3"/>
  <c r="O169" i="3"/>
  <c r="N169" i="3"/>
  <c r="P169" i="3" s="1"/>
  <c r="Q169" i="3" s="1"/>
  <c r="M169" i="3"/>
  <c r="K169" i="3"/>
  <c r="O168" i="3"/>
  <c r="M168" i="3"/>
  <c r="N168" i="3" s="1"/>
  <c r="P168" i="3" s="1"/>
  <c r="Q168" i="3" s="1"/>
  <c r="K168" i="3"/>
  <c r="O167" i="3"/>
  <c r="M167" i="3"/>
  <c r="N167" i="3" s="1"/>
  <c r="P167" i="3" s="1"/>
  <c r="Q167" i="3" s="1"/>
  <c r="K167" i="3"/>
  <c r="O166" i="3"/>
  <c r="K166" i="3"/>
  <c r="O165" i="3"/>
  <c r="M165" i="3"/>
  <c r="N165" i="3" s="1"/>
  <c r="P165" i="3" s="1"/>
  <c r="Q165" i="3" s="1"/>
  <c r="K165" i="3"/>
  <c r="O164" i="3"/>
  <c r="M164" i="3"/>
  <c r="N164" i="3" s="1"/>
  <c r="P164" i="3" s="1"/>
  <c r="Q164" i="3" s="1"/>
  <c r="K164" i="3"/>
  <c r="O163" i="3"/>
  <c r="K163" i="3"/>
  <c r="M163" i="3" s="1"/>
  <c r="N163" i="3" s="1"/>
  <c r="P163" i="3" s="1"/>
  <c r="Q163" i="3" s="1"/>
  <c r="P162" i="3"/>
  <c r="Q162" i="3" s="1"/>
  <c r="O162" i="3"/>
  <c r="N162" i="3"/>
  <c r="K162" i="3"/>
  <c r="M162" i="3" s="1"/>
  <c r="O161" i="3"/>
  <c r="N161" i="3"/>
  <c r="P161" i="3" s="1"/>
  <c r="Q161" i="3" s="1"/>
  <c r="M161" i="3"/>
  <c r="K161" i="3"/>
  <c r="O160" i="3"/>
  <c r="M160" i="3"/>
  <c r="N160" i="3" s="1"/>
  <c r="P160" i="3" s="1"/>
  <c r="Q160" i="3" s="1"/>
  <c r="K160" i="3"/>
  <c r="O159" i="3"/>
  <c r="K159" i="3"/>
  <c r="O158" i="3"/>
  <c r="K158" i="3"/>
  <c r="O157" i="3"/>
  <c r="K157" i="3"/>
  <c r="O156" i="3"/>
  <c r="K156" i="3"/>
  <c r="O155" i="3"/>
  <c r="K155" i="3"/>
  <c r="O154" i="3"/>
  <c r="K154" i="3"/>
  <c r="Q153" i="3"/>
  <c r="P153" i="3"/>
  <c r="O153" i="3"/>
  <c r="M153" i="3"/>
  <c r="N153" i="3" s="1"/>
  <c r="K153" i="3"/>
  <c r="O152" i="3"/>
  <c r="M152" i="3"/>
  <c r="K152" i="3"/>
  <c r="O151" i="3"/>
  <c r="M151" i="3"/>
  <c r="K151" i="3"/>
  <c r="N151" i="3" s="1"/>
  <c r="P151" i="3" s="1"/>
  <c r="Q151" i="3" s="1"/>
  <c r="O150" i="3"/>
  <c r="K150" i="3"/>
  <c r="O149" i="3"/>
  <c r="K149" i="3"/>
  <c r="O148" i="3"/>
  <c r="K148" i="3"/>
  <c r="O147" i="3"/>
  <c r="M147" i="3"/>
  <c r="K147" i="3"/>
  <c r="O146" i="3"/>
  <c r="K146" i="3"/>
  <c r="M146" i="3" s="1"/>
  <c r="O145" i="3"/>
  <c r="M145" i="3"/>
  <c r="N145" i="3" s="1"/>
  <c r="P145" i="3" s="1"/>
  <c r="Q145" i="3" s="1"/>
  <c r="K145" i="3"/>
  <c r="O144" i="3"/>
  <c r="N144" i="3"/>
  <c r="P144" i="3" s="1"/>
  <c r="Q144" i="3" s="1"/>
  <c r="M144" i="3"/>
  <c r="K144" i="3"/>
  <c r="O143" i="3"/>
  <c r="K143" i="3"/>
  <c r="O142" i="3"/>
  <c r="K142" i="3"/>
  <c r="Q141" i="3"/>
  <c r="O141" i="3"/>
  <c r="N141" i="3"/>
  <c r="P141" i="3" s="1"/>
  <c r="M141" i="3"/>
  <c r="K141" i="3"/>
  <c r="O140" i="3"/>
  <c r="N140" i="3"/>
  <c r="P140" i="3" s="1"/>
  <c r="Q140" i="3" s="1"/>
  <c r="K140" i="3"/>
  <c r="M140" i="3" s="1"/>
  <c r="O139" i="3"/>
  <c r="K139" i="3"/>
  <c r="M139" i="3" s="1"/>
  <c r="O138" i="3"/>
  <c r="K138" i="3"/>
  <c r="O137" i="3"/>
  <c r="N137" i="3"/>
  <c r="P137" i="3" s="1"/>
  <c r="Q137" i="3" s="1"/>
  <c r="M137" i="3"/>
  <c r="K137" i="3"/>
  <c r="O136" i="3"/>
  <c r="M136" i="3"/>
  <c r="N136" i="3" s="1"/>
  <c r="P136" i="3" s="1"/>
  <c r="Q136" i="3" s="1"/>
  <c r="K136" i="3"/>
  <c r="O135" i="3"/>
  <c r="M135" i="3"/>
  <c r="N135" i="3" s="1"/>
  <c r="P135" i="3" s="1"/>
  <c r="Q135" i="3" s="1"/>
  <c r="K135" i="3"/>
  <c r="O134" i="3"/>
  <c r="K134" i="3"/>
  <c r="O133" i="3"/>
  <c r="M133" i="3"/>
  <c r="N133" i="3" s="1"/>
  <c r="P133" i="3" s="1"/>
  <c r="Q133" i="3" s="1"/>
  <c r="K133" i="3"/>
  <c r="P132" i="3"/>
  <c r="Q132" i="3" s="1"/>
  <c r="O132" i="3"/>
  <c r="M132" i="3"/>
  <c r="N132" i="3" s="1"/>
  <c r="K132" i="3"/>
  <c r="O131" i="3"/>
  <c r="K131" i="3"/>
  <c r="O130" i="3"/>
  <c r="K130" i="3"/>
  <c r="M130" i="3" s="1"/>
  <c r="N130" i="3" s="1"/>
  <c r="P130" i="3" s="1"/>
  <c r="Q130" i="3" s="1"/>
  <c r="O129" i="3"/>
  <c r="N129" i="3"/>
  <c r="P129" i="3" s="1"/>
  <c r="Q129" i="3" s="1"/>
  <c r="M129" i="3"/>
  <c r="K129" i="3"/>
  <c r="O128" i="3"/>
  <c r="M128" i="3"/>
  <c r="N128" i="3" s="1"/>
  <c r="P128" i="3" s="1"/>
  <c r="Q128" i="3" s="1"/>
  <c r="K128" i="3"/>
  <c r="O127" i="3"/>
  <c r="K127" i="3"/>
  <c r="O126" i="3"/>
  <c r="K126" i="3"/>
  <c r="O125" i="3"/>
  <c r="K125" i="3"/>
  <c r="O124" i="3"/>
  <c r="M124" i="3"/>
  <c r="K124" i="3"/>
  <c r="O123" i="3"/>
  <c r="M123" i="3"/>
  <c r="K123" i="3"/>
  <c r="O122" i="3"/>
  <c r="M122" i="3"/>
  <c r="K122" i="3"/>
  <c r="N122" i="3" s="1"/>
  <c r="P122" i="3" s="1"/>
  <c r="Q122" i="3" s="1"/>
  <c r="O121" i="3"/>
  <c r="N121" i="3"/>
  <c r="P121" i="3" s="1"/>
  <c r="Q121" i="3" s="1"/>
  <c r="M121" i="3"/>
  <c r="K121" i="3"/>
  <c r="O120" i="3"/>
  <c r="K120" i="3"/>
  <c r="O119" i="3"/>
  <c r="N119" i="3"/>
  <c r="P119" i="3" s="1"/>
  <c r="Q119" i="3" s="1"/>
  <c r="M119" i="3"/>
  <c r="K119" i="3"/>
  <c r="O118" i="3"/>
  <c r="K118" i="3"/>
  <c r="O117" i="3"/>
  <c r="K117" i="3"/>
  <c r="P116" i="3"/>
  <c r="Q116" i="3" s="1"/>
  <c r="O116" i="3"/>
  <c r="K116" i="3"/>
  <c r="M116" i="3" s="1"/>
  <c r="N116" i="3" s="1"/>
  <c r="Q115" i="3"/>
  <c r="O115" i="3"/>
  <c r="M115" i="3"/>
  <c r="N115" i="3" s="1"/>
  <c r="P115" i="3" s="1"/>
  <c r="K115" i="3"/>
  <c r="O114" i="3"/>
  <c r="K114" i="3"/>
  <c r="M114" i="3" s="1"/>
  <c r="O113" i="3"/>
  <c r="P113" i="3" s="1"/>
  <c r="Q113" i="3" s="1"/>
  <c r="M113" i="3"/>
  <c r="N113" i="3" s="1"/>
  <c r="K113" i="3"/>
  <c r="O112" i="3"/>
  <c r="M112" i="3"/>
  <c r="K112" i="3"/>
  <c r="O111" i="3"/>
  <c r="K111" i="3"/>
  <c r="M111" i="3" s="1"/>
  <c r="N111" i="3" s="1"/>
  <c r="P111" i="3" s="1"/>
  <c r="Q111" i="3" s="1"/>
  <c r="O110" i="3"/>
  <c r="M110" i="3"/>
  <c r="K110" i="3"/>
  <c r="O109" i="3"/>
  <c r="K109" i="3"/>
  <c r="O108" i="3"/>
  <c r="K108" i="3"/>
  <c r="O107" i="3"/>
  <c r="K107" i="3"/>
  <c r="O106" i="3"/>
  <c r="K106" i="3"/>
  <c r="M106" i="3" s="1"/>
  <c r="N106" i="3" s="1"/>
  <c r="P106" i="3" s="1"/>
  <c r="Q106" i="3" s="1"/>
  <c r="O105" i="3"/>
  <c r="N105" i="3"/>
  <c r="P105" i="3" s="1"/>
  <c r="Q105" i="3" s="1"/>
  <c r="K105" i="3"/>
  <c r="M105" i="3" s="1"/>
  <c r="O104" i="3"/>
  <c r="K104" i="3"/>
  <c r="O103" i="3"/>
  <c r="K103" i="3"/>
  <c r="P102" i="3"/>
  <c r="Q102" i="3" s="1"/>
  <c r="O102" i="3"/>
  <c r="M102" i="3"/>
  <c r="K102" i="3"/>
  <c r="N102" i="3" s="1"/>
  <c r="O101" i="3"/>
  <c r="M101" i="3"/>
  <c r="K101" i="3"/>
  <c r="N101" i="3" s="1"/>
  <c r="P101" i="3" s="1"/>
  <c r="Q101" i="3" s="1"/>
  <c r="O100" i="3"/>
  <c r="M100" i="3"/>
  <c r="N100" i="3" s="1"/>
  <c r="P100" i="3" s="1"/>
  <c r="Q100" i="3" s="1"/>
  <c r="K100" i="3"/>
  <c r="O99" i="3"/>
  <c r="K99" i="3"/>
  <c r="O98" i="3"/>
  <c r="K98" i="3"/>
  <c r="O97" i="3"/>
  <c r="K97" i="3"/>
  <c r="M97" i="3" s="1"/>
  <c r="N97" i="3" s="1"/>
  <c r="P97" i="3" s="1"/>
  <c r="Q97" i="3" s="1"/>
  <c r="O96" i="3"/>
  <c r="K96" i="3"/>
  <c r="O95" i="3"/>
  <c r="N95" i="3"/>
  <c r="P95" i="3" s="1"/>
  <c r="Q95" i="3" s="1"/>
  <c r="K95" i="3"/>
  <c r="M95" i="3" s="1"/>
  <c r="O94" i="3"/>
  <c r="M94" i="3"/>
  <c r="K94" i="3"/>
  <c r="O93" i="3"/>
  <c r="K93" i="3"/>
  <c r="O92" i="3"/>
  <c r="M92" i="3"/>
  <c r="N92" i="3" s="1"/>
  <c r="P92" i="3" s="1"/>
  <c r="Q92" i="3" s="1"/>
  <c r="K92" i="3"/>
  <c r="O91" i="3"/>
  <c r="K91" i="3"/>
  <c r="O90" i="3"/>
  <c r="N90" i="3"/>
  <c r="P90" i="3" s="1"/>
  <c r="Q90" i="3" s="1"/>
  <c r="K90" i="3"/>
  <c r="M90" i="3" s="1"/>
  <c r="O89" i="3"/>
  <c r="K89" i="3"/>
  <c r="M89" i="3" s="1"/>
  <c r="N89" i="3" s="1"/>
  <c r="P89" i="3" s="1"/>
  <c r="Q89" i="3" s="1"/>
  <c r="O88" i="3"/>
  <c r="K88" i="3"/>
  <c r="O87" i="3"/>
  <c r="K87" i="3"/>
  <c r="O86" i="3"/>
  <c r="M86" i="3"/>
  <c r="K86" i="3"/>
  <c r="N86" i="3" s="1"/>
  <c r="P86" i="3" s="1"/>
  <c r="Q86" i="3" s="1"/>
  <c r="O85" i="3"/>
  <c r="M85" i="3"/>
  <c r="N85" i="3" s="1"/>
  <c r="P85" i="3" s="1"/>
  <c r="Q85" i="3" s="1"/>
  <c r="K85" i="3"/>
  <c r="O84" i="3"/>
  <c r="M84" i="3"/>
  <c r="N84" i="3" s="1"/>
  <c r="P84" i="3" s="1"/>
  <c r="Q84" i="3" s="1"/>
  <c r="K84" i="3"/>
  <c r="O83" i="3"/>
  <c r="K83" i="3"/>
  <c r="O82" i="3"/>
  <c r="K82" i="3"/>
  <c r="M82" i="3" s="1"/>
  <c r="N82" i="3" s="1"/>
  <c r="P82" i="3" s="1"/>
  <c r="Q82" i="3" s="1"/>
  <c r="P81" i="3"/>
  <c r="Q81" i="3" s="1"/>
  <c r="O81" i="3"/>
  <c r="N81" i="3"/>
  <c r="K81" i="3"/>
  <c r="M81" i="3" s="1"/>
  <c r="O80" i="3"/>
  <c r="K80" i="3"/>
  <c r="O79" i="3"/>
  <c r="K79" i="3"/>
  <c r="P78" i="3"/>
  <c r="Q78" i="3" s="1"/>
  <c r="O78" i="3"/>
  <c r="M78" i="3"/>
  <c r="K78" i="3"/>
  <c r="N78" i="3" s="1"/>
  <c r="O77" i="3"/>
  <c r="K77" i="3"/>
  <c r="O76" i="3"/>
  <c r="K76" i="3"/>
  <c r="O75" i="3"/>
  <c r="K75" i="3"/>
  <c r="O74" i="3"/>
  <c r="K74" i="3"/>
  <c r="O73" i="3"/>
  <c r="N73" i="3"/>
  <c r="P73" i="3" s="1"/>
  <c r="Q73" i="3" s="1"/>
  <c r="K73" i="3"/>
  <c r="M73" i="3" s="1"/>
  <c r="O72" i="3"/>
  <c r="K72" i="3"/>
  <c r="O71" i="3"/>
  <c r="K71" i="3"/>
  <c r="P70" i="3"/>
  <c r="Q70" i="3" s="1"/>
  <c r="O70" i="3"/>
  <c r="M70" i="3"/>
  <c r="K70" i="3"/>
  <c r="N70" i="3" s="1"/>
  <c r="O69" i="3"/>
  <c r="M69" i="3"/>
  <c r="K69" i="3"/>
  <c r="N69" i="3" s="1"/>
  <c r="P69" i="3" s="1"/>
  <c r="Q69" i="3" s="1"/>
  <c r="O68" i="3"/>
  <c r="K68" i="3"/>
  <c r="O67" i="3"/>
  <c r="K67" i="3"/>
  <c r="O66" i="3"/>
  <c r="K66" i="3"/>
  <c r="O65" i="3"/>
  <c r="K65" i="3"/>
  <c r="M65" i="3" s="1"/>
  <c r="N65" i="3" s="1"/>
  <c r="P65" i="3" s="1"/>
  <c r="Q65" i="3" s="1"/>
  <c r="O64" i="3"/>
  <c r="K64" i="3"/>
  <c r="O63" i="3"/>
  <c r="K63" i="3"/>
  <c r="M63" i="3" s="1"/>
  <c r="N63" i="3" s="1"/>
  <c r="P63" i="3" s="1"/>
  <c r="Q63" i="3" s="1"/>
  <c r="O62" i="3"/>
  <c r="M62" i="3"/>
  <c r="K62" i="3"/>
  <c r="O61" i="3"/>
  <c r="K61" i="3"/>
  <c r="O60" i="3"/>
  <c r="M60" i="3"/>
  <c r="N60" i="3" s="1"/>
  <c r="P60" i="3" s="1"/>
  <c r="Q60" i="3" s="1"/>
  <c r="K60" i="3"/>
  <c r="O59" i="3"/>
  <c r="K59" i="3"/>
  <c r="O58" i="3"/>
  <c r="K58" i="3"/>
  <c r="M58" i="3" s="1"/>
  <c r="O57" i="3"/>
  <c r="K57" i="3"/>
  <c r="M57" i="3" s="1"/>
  <c r="N57" i="3" s="1"/>
  <c r="P57" i="3" s="1"/>
  <c r="Q57" i="3" s="1"/>
  <c r="Q56" i="3"/>
  <c r="O56" i="3"/>
  <c r="N56" i="3"/>
  <c r="P56" i="3" s="1"/>
  <c r="K56" i="3"/>
  <c r="M56" i="3" s="1"/>
  <c r="O55" i="3"/>
  <c r="M55" i="3"/>
  <c r="K55" i="3"/>
  <c r="N55" i="3" s="1"/>
  <c r="P55" i="3" s="1"/>
  <c r="Q55" i="3" s="1"/>
  <c r="O54" i="3"/>
  <c r="M54" i="3"/>
  <c r="K54" i="3"/>
  <c r="N54" i="3" s="1"/>
  <c r="P54" i="3" s="1"/>
  <c r="Q54" i="3" s="1"/>
  <c r="O53" i="3"/>
  <c r="M53" i="3"/>
  <c r="N53" i="3" s="1"/>
  <c r="P53" i="3" s="1"/>
  <c r="Q53" i="3" s="1"/>
  <c r="K53" i="3"/>
  <c r="O52" i="3"/>
  <c r="M52" i="3"/>
  <c r="K52" i="3"/>
  <c r="N52" i="3" s="1"/>
  <c r="O51" i="3"/>
  <c r="K51" i="3"/>
  <c r="O50" i="3"/>
  <c r="K50" i="3"/>
  <c r="M50" i="3" s="1"/>
  <c r="Q49" i="3"/>
  <c r="O49" i="3"/>
  <c r="K49" i="3"/>
  <c r="M49" i="3" s="1"/>
  <c r="N49" i="3" s="1"/>
  <c r="P49" i="3" s="1"/>
  <c r="Q48" i="3"/>
  <c r="O48" i="3"/>
  <c r="N48" i="3"/>
  <c r="P48" i="3" s="1"/>
  <c r="K48" i="3"/>
  <c r="M48" i="3" s="1"/>
  <c r="O47" i="3"/>
  <c r="K47" i="3"/>
  <c r="M47" i="3" s="1"/>
  <c r="P46" i="3"/>
  <c r="Q46" i="3" s="1"/>
  <c r="O46" i="3"/>
  <c r="M46" i="3"/>
  <c r="K46" i="3"/>
  <c r="N46" i="3" s="1"/>
  <c r="O45" i="3"/>
  <c r="M45" i="3"/>
  <c r="K45" i="3"/>
  <c r="O44" i="3"/>
  <c r="K44" i="3"/>
  <c r="M44" i="3" s="1"/>
  <c r="O43" i="3"/>
  <c r="K43" i="3"/>
  <c r="O42" i="3"/>
  <c r="K42" i="3"/>
  <c r="O41" i="3"/>
  <c r="K41" i="3"/>
  <c r="M41" i="3" s="1"/>
  <c r="N41" i="3" s="1"/>
  <c r="P41" i="3" s="1"/>
  <c r="Q41" i="3" s="1"/>
  <c r="O40" i="3"/>
  <c r="K40" i="3"/>
  <c r="O39" i="3"/>
  <c r="K39" i="3"/>
  <c r="O38" i="3"/>
  <c r="M38" i="3"/>
  <c r="K38" i="3"/>
  <c r="N38" i="3" s="1"/>
  <c r="P38" i="3" s="1"/>
  <c r="Q38" i="3" s="1"/>
  <c r="O37" i="3"/>
  <c r="M37" i="3"/>
  <c r="N37" i="3" s="1"/>
  <c r="P37" i="3" s="1"/>
  <c r="Q37" i="3" s="1"/>
  <c r="K37" i="3"/>
  <c r="O36" i="3"/>
  <c r="K36" i="3"/>
  <c r="O35" i="3"/>
  <c r="K35" i="3"/>
  <c r="O34" i="3"/>
  <c r="K34" i="3"/>
  <c r="O33" i="3"/>
  <c r="N33" i="3"/>
  <c r="P33" i="3" s="1"/>
  <c r="Q33" i="3" s="1"/>
  <c r="K33" i="3"/>
  <c r="M33" i="3" s="1"/>
  <c r="O32" i="3"/>
  <c r="K32" i="3"/>
  <c r="M32" i="3" s="1"/>
  <c r="O31" i="3"/>
  <c r="K31" i="3"/>
  <c r="O30" i="3"/>
  <c r="M30" i="3"/>
  <c r="K30" i="3"/>
  <c r="O29" i="3"/>
  <c r="K29" i="3"/>
  <c r="O28" i="3"/>
  <c r="K28" i="3"/>
  <c r="O27" i="3"/>
  <c r="K27" i="3"/>
  <c r="O26" i="3"/>
  <c r="K26" i="3"/>
  <c r="M26" i="3" s="1"/>
  <c r="O25" i="3"/>
  <c r="N25" i="3"/>
  <c r="P25" i="3" s="1"/>
  <c r="Q25" i="3" s="1"/>
  <c r="K25" i="3"/>
  <c r="M25" i="3" s="1"/>
  <c r="O24" i="3"/>
  <c r="K24" i="3"/>
  <c r="M24" i="3" s="1"/>
  <c r="O23" i="3"/>
  <c r="K23" i="3"/>
  <c r="O22" i="3"/>
  <c r="M22" i="3"/>
  <c r="K22" i="3"/>
  <c r="N22" i="3" s="1"/>
  <c r="P22" i="3" s="1"/>
  <c r="Q22" i="3" s="1"/>
  <c r="O21" i="3"/>
  <c r="K21" i="3"/>
  <c r="I17" i="2" s="1"/>
  <c r="O20" i="3"/>
  <c r="K20" i="3"/>
  <c r="O19" i="3"/>
  <c r="K19" i="3"/>
  <c r="O18" i="3"/>
  <c r="K18" i="3"/>
  <c r="M18" i="3" s="1"/>
  <c r="O17" i="3"/>
  <c r="K17" i="3"/>
  <c r="M17" i="3" s="1"/>
  <c r="N17" i="3" s="1"/>
  <c r="O16" i="3"/>
  <c r="K16" i="3"/>
  <c r="M16" i="3" s="1"/>
  <c r="O15" i="3"/>
  <c r="M15" i="3"/>
  <c r="N15" i="3" s="1"/>
  <c r="P15" i="3" s="1"/>
  <c r="Q15" i="3" s="1"/>
  <c r="K15" i="3"/>
  <c r="O14" i="3"/>
  <c r="M14" i="3"/>
  <c r="K14" i="3"/>
  <c r="N14" i="3" s="1"/>
  <c r="O13" i="3"/>
  <c r="K13" i="3"/>
  <c r="Q12" i="3"/>
  <c r="O12" i="3"/>
  <c r="M12" i="3"/>
  <c r="N12" i="3" s="1"/>
  <c r="P12" i="3" s="1"/>
  <c r="K12" i="3"/>
  <c r="O11" i="3"/>
  <c r="K11" i="3"/>
  <c r="O10" i="3"/>
  <c r="K10" i="3"/>
  <c r="I7" i="2" s="1"/>
  <c r="P9" i="3"/>
  <c r="Q9" i="3" s="1"/>
  <c r="O9" i="3"/>
  <c r="N9" i="3"/>
  <c r="K9" i="3"/>
  <c r="M9" i="3" s="1"/>
  <c r="O8" i="3"/>
  <c r="N8" i="3"/>
  <c r="K8" i="3"/>
  <c r="M8" i="3" s="1"/>
  <c r="O7" i="3"/>
  <c r="K7" i="3"/>
  <c r="M7" i="3" s="1"/>
  <c r="O6" i="3"/>
  <c r="M6" i="3"/>
  <c r="K6" i="3"/>
  <c r="N6" i="3" s="1"/>
  <c r="O5" i="3"/>
  <c r="M5" i="3"/>
  <c r="N5" i="3" s="1"/>
  <c r="P5" i="3" s="1"/>
  <c r="Q5" i="3" s="1"/>
  <c r="K5" i="3"/>
  <c r="O4" i="3"/>
  <c r="K4" i="3"/>
  <c r="M4" i="3" s="1"/>
  <c r="N4" i="3" s="1"/>
  <c r="O3" i="3"/>
  <c r="K3" i="3"/>
  <c r="O2" i="3"/>
  <c r="K2" i="3"/>
  <c r="M2" i="3" s="1"/>
  <c r="N2" i="3" s="1"/>
  <c r="I35" i="2"/>
  <c r="I34" i="2"/>
  <c r="I33" i="2"/>
  <c r="C25" i="2"/>
  <c r="C24" i="2"/>
  <c r="C23" i="2"/>
  <c r="C22" i="2"/>
  <c r="E5" i="2"/>
  <c r="E4" i="2"/>
  <c r="M87" i="3" l="1"/>
  <c r="N87" i="3" s="1"/>
  <c r="P87" i="3" s="1"/>
  <c r="Q87" i="3" s="1"/>
  <c r="M532" i="3"/>
  <c r="N532" i="3" s="1"/>
  <c r="P532" i="3" s="1"/>
  <c r="Q532" i="3" s="1"/>
  <c r="C5" i="2"/>
  <c r="M42" i="3"/>
  <c r="N42" i="3" s="1"/>
  <c r="P42" i="3" s="1"/>
  <c r="Q42" i="3" s="1"/>
  <c r="C14" i="2"/>
  <c r="P4" i="3"/>
  <c r="N362" i="3"/>
  <c r="P362" i="3" s="1"/>
  <c r="Q362" i="3" s="1"/>
  <c r="N474" i="3"/>
  <c r="P474" i="3" s="1"/>
  <c r="Q474" i="3" s="1"/>
  <c r="M474" i="3"/>
  <c r="C12" i="2"/>
  <c r="I20" i="2"/>
  <c r="M216" i="3"/>
  <c r="N216" i="3" s="1"/>
  <c r="P216" i="3" s="1"/>
  <c r="Q216" i="3" s="1"/>
  <c r="M125" i="3"/>
  <c r="N125" i="3" s="1"/>
  <c r="P125" i="3" s="1"/>
  <c r="Q125" i="3" s="1"/>
  <c r="N71" i="3"/>
  <c r="P71" i="3" s="1"/>
  <c r="Q71" i="3" s="1"/>
  <c r="M34" i="3"/>
  <c r="N34" i="3" s="1"/>
  <c r="P34" i="3" s="1"/>
  <c r="Q34" i="3" s="1"/>
  <c r="N79" i="3"/>
  <c r="P79" i="3" s="1"/>
  <c r="Q79" i="3" s="1"/>
  <c r="M323" i="3"/>
  <c r="N323" i="3" s="1"/>
  <c r="P323" i="3" s="1"/>
  <c r="Q323" i="3" s="1"/>
  <c r="P2" i="3"/>
  <c r="N157" i="3"/>
  <c r="P157" i="3" s="1"/>
  <c r="Q157" i="3" s="1"/>
  <c r="P6" i="3"/>
  <c r="N714" i="3"/>
  <c r="P714" i="3" s="1"/>
  <c r="Q714" i="3" s="1"/>
  <c r="N328" i="3"/>
  <c r="P328" i="3" s="1"/>
  <c r="Q328" i="3" s="1"/>
  <c r="N186" i="3"/>
  <c r="P186" i="3" s="1"/>
  <c r="Q186" i="3" s="1"/>
  <c r="N23" i="3"/>
  <c r="P23" i="3" s="1"/>
  <c r="Q23" i="3" s="1"/>
  <c r="P17" i="3"/>
  <c r="Q17" i="3" s="1"/>
  <c r="N120" i="3"/>
  <c r="P120" i="3" s="1"/>
  <c r="Q120" i="3" s="1"/>
  <c r="M422" i="3"/>
  <c r="N422" i="3" s="1"/>
  <c r="P422" i="3" s="1"/>
  <c r="Q422" i="3" s="1"/>
  <c r="I23" i="2"/>
  <c r="M586" i="3"/>
  <c r="N586" i="3" s="1"/>
  <c r="P586" i="3" s="1"/>
  <c r="Q586" i="3" s="1"/>
  <c r="N20" i="3"/>
  <c r="P20" i="3" s="1"/>
  <c r="Q20" i="3" s="1"/>
  <c r="N103" i="3"/>
  <c r="P103" i="3" s="1"/>
  <c r="Q103" i="3" s="1"/>
  <c r="M150" i="3"/>
  <c r="N150" i="3" s="1"/>
  <c r="P150" i="3" s="1"/>
  <c r="Q150" i="3" s="1"/>
  <c r="I13" i="2"/>
  <c r="M383" i="3"/>
  <c r="N383" i="3" s="1"/>
  <c r="P383" i="3" s="1"/>
  <c r="Q383" i="3" s="1"/>
  <c r="I21" i="2"/>
  <c r="M74" i="3"/>
  <c r="N74" i="3" s="1"/>
  <c r="P74" i="3" s="1"/>
  <c r="Q74" i="3" s="1"/>
  <c r="N330" i="3"/>
  <c r="P330" i="3" s="1"/>
  <c r="Q330" i="3" s="1"/>
  <c r="M829" i="3"/>
  <c r="N829" i="3" s="1"/>
  <c r="P829" i="3" s="1"/>
  <c r="Q829" i="3" s="1"/>
  <c r="M10" i="3"/>
  <c r="N18" i="3"/>
  <c r="P18" i="3" s="1"/>
  <c r="Q18" i="3" s="1"/>
  <c r="N26" i="3"/>
  <c r="N43" i="3"/>
  <c r="P43" i="3" s="1"/>
  <c r="Q43" i="3" s="1"/>
  <c r="M43" i="3"/>
  <c r="N50" i="3"/>
  <c r="P50" i="3" s="1"/>
  <c r="Q50" i="3" s="1"/>
  <c r="M79" i="3"/>
  <c r="M117" i="3"/>
  <c r="N117" i="3" s="1"/>
  <c r="P117" i="3" s="1"/>
  <c r="Q117" i="3" s="1"/>
  <c r="N138" i="3"/>
  <c r="P138" i="3" s="1"/>
  <c r="Q138" i="3" s="1"/>
  <c r="N146" i="3"/>
  <c r="P146" i="3" s="1"/>
  <c r="Q146" i="3" s="1"/>
  <c r="M186" i="3"/>
  <c r="M191" i="3"/>
  <c r="N191" i="3" s="1"/>
  <c r="P191" i="3" s="1"/>
  <c r="Q191" i="3" s="1"/>
  <c r="M204" i="3"/>
  <c r="N204" i="3" s="1"/>
  <c r="P204" i="3" s="1"/>
  <c r="Q204" i="3" s="1"/>
  <c r="N284" i="3"/>
  <c r="P284" i="3" s="1"/>
  <c r="Q284" i="3" s="1"/>
  <c r="N311" i="3"/>
  <c r="P311" i="3" s="1"/>
  <c r="Q311" i="3" s="1"/>
  <c r="N333" i="3"/>
  <c r="P333" i="3" s="1"/>
  <c r="Q333" i="3" s="1"/>
  <c r="M398" i="3"/>
  <c r="N398" i="3" s="1"/>
  <c r="P398" i="3" s="1"/>
  <c r="Q398" i="3" s="1"/>
  <c r="N436" i="3"/>
  <c r="P436" i="3" s="1"/>
  <c r="Q436" i="3" s="1"/>
  <c r="N537" i="3"/>
  <c r="P537" i="3" s="1"/>
  <c r="Q537" i="3" s="1"/>
  <c r="M537" i="3"/>
  <c r="M566" i="3"/>
  <c r="N566" i="3" s="1"/>
  <c r="P566" i="3" s="1"/>
  <c r="Q566" i="3" s="1"/>
  <c r="N646" i="3"/>
  <c r="P646" i="3" s="1"/>
  <c r="Q646" i="3" s="1"/>
  <c r="M711" i="3"/>
  <c r="N711" i="3" s="1"/>
  <c r="P711" i="3" s="1"/>
  <c r="Q711" i="3" s="1"/>
  <c r="M763" i="3"/>
  <c r="N763" i="3" s="1"/>
  <c r="P763" i="3" s="1"/>
  <c r="Q763" i="3" s="1"/>
  <c r="N778" i="3"/>
  <c r="P778" i="3" s="1"/>
  <c r="Q778" i="3" s="1"/>
  <c r="M783" i="3"/>
  <c r="N783" i="3" s="1"/>
  <c r="P783" i="3" s="1"/>
  <c r="Q783" i="3" s="1"/>
  <c r="I22" i="2"/>
  <c r="N10" i="3"/>
  <c r="N280" i="3"/>
  <c r="P280" i="3" s="1"/>
  <c r="Q280" i="3" s="1"/>
  <c r="M280" i="3"/>
  <c r="N460" i="3"/>
  <c r="P460" i="3" s="1"/>
  <c r="Q460" i="3" s="1"/>
  <c r="N547" i="3"/>
  <c r="P547" i="3" s="1"/>
  <c r="Q547" i="3" s="1"/>
  <c r="M547" i="3"/>
  <c r="M23" i="3"/>
  <c r="M31" i="3"/>
  <c r="N31" i="3" s="1"/>
  <c r="P31" i="3" s="1"/>
  <c r="Q31" i="3" s="1"/>
  <c r="M71" i="3"/>
  <c r="M143" i="3"/>
  <c r="N143" i="3" s="1"/>
  <c r="P143" i="3" s="1"/>
  <c r="Q143" i="3" s="1"/>
  <c r="M271" i="3"/>
  <c r="N271" i="3" s="1"/>
  <c r="P271" i="3" s="1"/>
  <c r="Q271" i="3" s="1"/>
  <c r="N275" i="3"/>
  <c r="P275" i="3" s="1"/>
  <c r="Q275" i="3" s="1"/>
  <c r="M285" i="3"/>
  <c r="N285" i="3" s="1"/>
  <c r="P285" i="3" s="1"/>
  <c r="Q285" i="3" s="1"/>
  <c r="N298" i="3"/>
  <c r="P298" i="3" s="1"/>
  <c r="Q298" i="3" s="1"/>
  <c r="M298" i="3"/>
  <c r="M307" i="3"/>
  <c r="N307" i="3" s="1"/>
  <c r="P307" i="3" s="1"/>
  <c r="Q307" i="3" s="1"/>
  <c r="N365" i="3"/>
  <c r="P365" i="3" s="1"/>
  <c r="Q365" i="3" s="1"/>
  <c r="N456" i="3"/>
  <c r="P456" i="3" s="1"/>
  <c r="Q456" i="3" s="1"/>
  <c r="M557" i="3"/>
  <c r="N557" i="3" s="1"/>
  <c r="P557" i="3" s="1"/>
  <c r="Q557" i="3" s="1"/>
  <c r="N622" i="3"/>
  <c r="P622" i="3" s="1"/>
  <c r="Q622" i="3" s="1"/>
  <c r="C15" i="2"/>
  <c r="M3" i="3"/>
  <c r="N3" i="3" s="1"/>
  <c r="M178" i="3"/>
  <c r="N178" i="3" s="1"/>
  <c r="P178" i="3" s="1"/>
  <c r="Q178" i="3" s="1"/>
  <c r="M183" i="3"/>
  <c r="N183" i="3" s="1"/>
  <c r="P183" i="3" s="1"/>
  <c r="Q183" i="3" s="1"/>
  <c r="N239" i="3"/>
  <c r="P239" i="3" s="1"/>
  <c r="Q239" i="3" s="1"/>
  <c r="N471" i="3"/>
  <c r="P471" i="3" s="1"/>
  <c r="Q471" i="3" s="1"/>
  <c r="M471" i="3"/>
  <c r="M577" i="3"/>
  <c r="N577" i="3" s="1"/>
  <c r="P577" i="3" s="1"/>
  <c r="Q577" i="3" s="1"/>
  <c r="M622" i="3"/>
  <c r="M748" i="3"/>
  <c r="N748" i="3" s="1"/>
  <c r="P748" i="3" s="1"/>
  <c r="Q748" i="3" s="1"/>
  <c r="I15" i="2"/>
  <c r="N7" i="3"/>
  <c r="N44" i="3"/>
  <c r="P44" i="3" s="1"/>
  <c r="Q44" i="3" s="1"/>
  <c r="M68" i="3"/>
  <c r="N68" i="3" s="1"/>
  <c r="P68" i="3" s="1"/>
  <c r="Q68" i="3" s="1"/>
  <c r="N76" i="3"/>
  <c r="P76" i="3" s="1"/>
  <c r="Q76" i="3" s="1"/>
  <c r="M80" i="3"/>
  <c r="N80" i="3" s="1"/>
  <c r="P80" i="3" s="1"/>
  <c r="Q80" i="3" s="1"/>
  <c r="N114" i="3"/>
  <c r="P114" i="3" s="1"/>
  <c r="Q114" i="3" s="1"/>
  <c r="N139" i="3"/>
  <c r="P139" i="3" s="1"/>
  <c r="Q139" i="3" s="1"/>
  <c r="M157" i="3"/>
  <c r="M223" i="3"/>
  <c r="N223" i="3" s="1"/>
  <c r="P223" i="3" s="1"/>
  <c r="Q223" i="3" s="1"/>
  <c r="M330" i="3"/>
  <c r="M399" i="3"/>
  <c r="N399" i="3" s="1"/>
  <c r="P399" i="3" s="1"/>
  <c r="Q399" i="3" s="1"/>
  <c r="N562" i="3"/>
  <c r="P562" i="3" s="1"/>
  <c r="Q562" i="3" s="1"/>
  <c r="N583" i="3"/>
  <c r="P583" i="3" s="1"/>
  <c r="Q583" i="3" s="1"/>
  <c r="M602" i="3"/>
  <c r="N602" i="3" s="1"/>
  <c r="P602" i="3" s="1"/>
  <c r="Q602" i="3" s="1"/>
  <c r="M631" i="3"/>
  <c r="N631" i="3" s="1"/>
  <c r="P631" i="3" s="1"/>
  <c r="Q631" i="3" s="1"/>
  <c r="N775" i="3"/>
  <c r="P775" i="3" s="1"/>
  <c r="Q775" i="3" s="1"/>
  <c r="N874" i="3"/>
  <c r="P874" i="3" s="1"/>
  <c r="Q874" i="3" s="1"/>
  <c r="M874" i="3"/>
  <c r="B9" i="1"/>
  <c r="I6" i="2"/>
  <c r="M20" i="3"/>
  <c r="N28" i="3"/>
  <c r="P28" i="3" s="1"/>
  <c r="Q28" i="3" s="1"/>
  <c r="M40" i="3"/>
  <c r="N40" i="3" s="1"/>
  <c r="P40" i="3" s="1"/>
  <c r="Q40" i="3" s="1"/>
  <c r="I14" i="2"/>
  <c r="P52" i="3"/>
  <c r="Q52" i="3" s="1"/>
  <c r="M76" i="3"/>
  <c r="M93" i="3"/>
  <c r="N93" i="3" s="1"/>
  <c r="P93" i="3" s="1"/>
  <c r="Q93" i="3" s="1"/>
  <c r="M131" i="3"/>
  <c r="N131" i="3" s="1"/>
  <c r="P131" i="3" s="1"/>
  <c r="Q131" i="3" s="1"/>
  <c r="M227" i="3"/>
  <c r="N227" i="3" s="1"/>
  <c r="P227" i="3" s="1"/>
  <c r="Q227" i="3" s="1"/>
  <c r="N272" i="3"/>
  <c r="P272" i="3" s="1"/>
  <c r="Q272" i="3" s="1"/>
  <c r="N276" i="3"/>
  <c r="P276" i="3" s="1"/>
  <c r="Q276" i="3" s="1"/>
  <c r="M276" i="3"/>
  <c r="M340" i="3"/>
  <c r="N340" i="3" s="1"/>
  <c r="P340" i="3" s="1"/>
  <c r="Q340" i="3" s="1"/>
  <c r="M362" i="3"/>
  <c r="N371" i="3"/>
  <c r="P371" i="3" s="1"/>
  <c r="Q371" i="3" s="1"/>
  <c r="M663" i="3"/>
  <c r="N663" i="3" s="1"/>
  <c r="P663" i="3" s="1"/>
  <c r="Q663" i="3" s="1"/>
  <c r="M706" i="3"/>
  <c r="N706" i="3" s="1"/>
  <c r="P706" i="3" s="1"/>
  <c r="Q706" i="3" s="1"/>
  <c r="N738" i="3"/>
  <c r="P738" i="3" s="1"/>
  <c r="Q738" i="3" s="1"/>
  <c r="M749" i="3"/>
  <c r="N749" i="3" s="1"/>
  <c r="P749" i="3" s="1"/>
  <c r="Q749" i="3" s="1"/>
  <c r="M820" i="3"/>
  <c r="N820" i="3" s="1"/>
  <c r="P820" i="3" s="1"/>
  <c r="Q820" i="3" s="1"/>
  <c r="M958" i="3"/>
  <c r="N958" i="3" s="1"/>
  <c r="P958" i="3" s="1"/>
  <c r="Q958" i="3" s="1"/>
  <c r="M962" i="3"/>
  <c r="N962" i="3" s="1"/>
  <c r="P962" i="3" s="1"/>
  <c r="Q962" i="3" s="1"/>
  <c r="N974" i="3"/>
  <c r="P974" i="3" s="1"/>
  <c r="Q974" i="3" s="1"/>
  <c r="M974" i="3"/>
  <c r="I16" i="2"/>
  <c r="M28" i="3"/>
  <c r="N148" i="3"/>
  <c r="P148" i="3" s="1"/>
  <c r="Q148" i="3" s="1"/>
  <c r="N179" i="3"/>
  <c r="P179" i="3" s="1"/>
  <c r="Q179" i="3" s="1"/>
  <c r="N210" i="3"/>
  <c r="P210" i="3" s="1"/>
  <c r="Q210" i="3" s="1"/>
  <c r="M240" i="3"/>
  <c r="N240" i="3" s="1"/>
  <c r="P240" i="3" s="1"/>
  <c r="Q240" i="3" s="1"/>
  <c r="M272" i="3"/>
  <c r="N299" i="3"/>
  <c r="P299" i="3" s="1"/>
  <c r="Q299" i="3" s="1"/>
  <c r="P321" i="3"/>
  <c r="Q321" i="3" s="1"/>
  <c r="N386" i="3"/>
  <c r="P386" i="3" s="1"/>
  <c r="Q386" i="3" s="1"/>
  <c r="M405" i="3"/>
  <c r="N405" i="3"/>
  <c r="P405" i="3" s="1"/>
  <c r="Q405" i="3" s="1"/>
  <c r="N516" i="3"/>
  <c r="P516" i="3" s="1"/>
  <c r="Q516" i="3" s="1"/>
  <c r="M516" i="3"/>
  <c r="N618" i="3"/>
  <c r="P618" i="3" s="1"/>
  <c r="Q618" i="3" s="1"/>
  <c r="M623" i="3"/>
  <c r="N623" i="3"/>
  <c r="P623" i="3" s="1"/>
  <c r="Q623" i="3" s="1"/>
  <c r="N722" i="3"/>
  <c r="P722" i="3" s="1"/>
  <c r="Q722" i="3" s="1"/>
  <c r="M738" i="3"/>
  <c r="N844" i="3"/>
  <c r="P844" i="3" s="1"/>
  <c r="Q844" i="3" s="1"/>
  <c r="M859" i="3"/>
  <c r="N859" i="3" s="1"/>
  <c r="P859" i="3" s="1"/>
  <c r="Q859" i="3" s="1"/>
  <c r="N47" i="3"/>
  <c r="P47" i="3" s="1"/>
  <c r="Q47" i="3" s="1"/>
  <c r="I5" i="2"/>
  <c r="M64" i="3"/>
  <c r="N64" i="3" s="1"/>
  <c r="P64" i="3" s="1"/>
  <c r="Q64" i="3" s="1"/>
  <c r="M72" i="3"/>
  <c r="N72" i="3" s="1"/>
  <c r="P72" i="3" s="1"/>
  <c r="Q72" i="3" s="1"/>
  <c r="N98" i="3"/>
  <c r="P98" i="3" s="1"/>
  <c r="Q98" i="3" s="1"/>
  <c r="M98" i="3"/>
  <c r="N326" i="3"/>
  <c r="P326" i="3" s="1"/>
  <c r="Q326" i="3" s="1"/>
  <c r="M326" i="3"/>
  <c r="N501" i="3"/>
  <c r="P501" i="3" s="1"/>
  <c r="Q501" i="3" s="1"/>
  <c r="M526" i="3"/>
  <c r="N526" i="3" s="1"/>
  <c r="M578" i="3"/>
  <c r="N578" i="3" s="1"/>
  <c r="P578" i="3" s="1"/>
  <c r="Q578" i="3" s="1"/>
  <c r="M771" i="3"/>
  <c r="N771" i="3" s="1"/>
  <c r="P771" i="3" s="1"/>
  <c r="Q771" i="3" s="1"/>
  <c r="M938" i="3"/>
  <c r="N938" i="3" s="1"/>
  <c r="P938" i="3" s="1"/>
  <c r="Q938" i="3" s="1"/>
  <c r="M980" i="3"/>
  <c r="N980" i="3"/>
  <c r="P980" i="3" s="1"/>
  <c r="Q980" i="3" s="1"/>
  <c r="P8" i="3"/>
  <c r="N16" i="3"/>
  <c r="P16" i="3" s="1"/>
  <c r="Q16" i="3" s="1"/>
  <c r="N24" i="3"/>
  <c r="P24" i="3" s="1"/>
  <c r="Q24" i="3" s="1"/>
  <c r="N45" i="3"/>
  <c r="P45" i="3" s="1"/>
  <c r="Q45" i="3" s="1"/>
  <c r="N124" i="3"/>
  <c r="P124" i="3" s="1"/>
  <c r="Q124" i="3" s="1"/>
  <c r="N211" i="3"/>
  <c r="P211" i="3" s="1"/>
  <c r="Q211" i="3" s="1"/>
  <c r="M224" i="3"/>
  <c r="N224" i="3" s="1"/>
  <c r="P224" i="3" s="1"/>
  <c r="Q224" i="3" s="1"/>
  <c r="M250" i="3"/>
  <c r="N250" i="3" s="1"/>
  <c r="P250" i="3" s="1"/>
  <c r="Q250" i="3" s="1"/>
  <c r="M391" i="3"/>
  <c r="N391" i="3" s="1"/>
  <c r="P391" i="3" s="1"/>
  <c r="Q391" i="3" s="1"/>
  <c r="N426" i="3"/>
  <c r="P426" i="3" s="1"/>
  <c r="Q426" i="3" s="1"/>
  <c r="N444" i="3"/>
  <c r="P444" i="3" s="1"/>
  <c r="Q444" i="3" s="1"/>
  <c r="M501" i="3"/>
  <c r="M589" i="3"/>
  <c r="N589" i="3" s="1"/>
  <c r="P589" i="3" s="1"/>
  <c r="Q589" i="3" s="1"/>
  <c r="M609" i="3"/>
  <c r="N609" i="3" s="1"/>
  <c r="P609" i="3" s="1"/>
  <c r="Q609" i="3" s="1"/>
  <c r="M669" i="3"/>
  <c r="N669" i="3" s="1"/>
  <c r="P669" i="3" s="1"/>
  <c r="Q669" i="3" s="1"/>
  <c r="M685" i="3"/>
  <c r="N685" i="3" s="1"/>
  <c r="P685" i="3" s="1"/>
  <c r="Q685" i="3" s="1"/>
  <c r="M718" i="3"/>
  <c r="N718" i="3" s="1"/>
  <c r="P718" i="3" s="1"/>
  <c r="Q718" i="3" s="1"/>
  <c r="M839" i="3"/>
  <c r="N839" i="3" s="1"/>
  <c r="P839" i="3" s="1"/>
  <c r="Q839" i="3" s="1"/>
  <c r="N959" i="3"/>
  <c r="P959" i="3" s="1"/>
  <c r="Q959" i="3" s="1"/>
  <c r="M88" i="3"/>
  <c r="N88" i="3" s="1"/>
  <c r="P88" i="3" s="1"/>
  <c r="Q88" i="3" s="1"/>
  <c r="M103" i="3"/>
  <c r="M154" i="3"/>
  <c r="N154" i="3" s="1"/>
  <c r="P154" i="3" s="1"/>
  <c r="Q154" i="3" s="1"/>
  <c r="M342" i="3"/>
  <c r="N342" i="3" s="1"/>
  <c r="P342" i="3" s="1"/>
  <c r="Q342" i="3" s="1"/>
  <c r="N407" i="3"/>
  <c r="P407" i="3" s="1"/>
  <c r="Q407" i="3" s="1"/>
  <c r="N416" i="3"/>
  <c r="P416" i="3" s="1"/>
  <c r="Q416" i="3" s="1"/>
  <c r="N493" i="3"/>
  <c r="P493" i="3" s="1"/>
  <c r="Q493" i="3" s="1"/>
  <c r="M502" i="3"/>
  <c r="N502" i="3" s="1"/>
  <c r="P502" i="3" s="1"/>
  <c r="Q502" i="3" s="1"/>
  <c r="M540" i="3"/>
  <c r="N540" i="3" s="1"/>
  <c r="P540" i="3" s="1"/>
  <c r="Q540" i="3" s="1"/>
  <c r="M569" i="3"/>
  <c r="N569" i="3" s="1"/>
  <c r="P569" i="3" s="1"/>
  <c r="Q569" i="3" s="1"/>
  <c r="M714" i="3"/>
  <c r="M142" i="3"/>
  <c r="N142" i="3" s="1"/>
  <c r="P142" i="3" s="1"/>
  <c r="Q142" i="3" s="1"/>
  <c r="M374" i="3"/>
  <c r="N374" i="3" s="1"/>
  <c r="P374" i="3" s="1"/>
  <c r="Q374" i="3" s="1"/>
  <c r="N432" i="3"/>
  <c r="P432" i="3" s="1"/>
  <c r="Q432" i="3" s="1"/>
  <c r="M565" i="3"/>
  <c r="N565" i="3" s="1"/>
  <c r="P565" i="3" s="1"/>
  <c r="Q565" i="3" s="1"/>
  <c r="N787" i="3"/>
  <c r="P787" i="3" s="1"/>
  <c r="Q787" i="3" s="1"/>
  <c r="N109" i="3"/>
  <c r="P109" i="3" s="1"/>
  <c r="Q109" i="3" s="1"/>
  <c r="N195" i="3"/>
  <c r="P195" i="3" s="1"/>
  <c r="Q195" i="3" s="1"/>
  <c r="M252" i="3"/>
  <c r="N252" i="3" s="1"/>
  <c r="P252" i="3" s="1"/>
  <c r="Q252" i="3" s="1"/>
  <c r="N306" i="3"/>
  <c r="P306" i="3" s="1"/>
  <c r="Q306" i="3" s="1"/>
  <c r="M432" i="3"/>
  <c r="M96" i="3"/>
  <c r="N96" i="3" s="1"/>
  <c r="P96" i="3" s="1"/>
  <c r="Q96" i="3" s="1"/>
  <c r="M134" i="3"/>
  <c r="N134" i="3" s="1"/>
  <c r="P134" i="3" s="1"/>
  <c r="Q134" i="3" s="1"/>
  <c r="M230" i="3"/>
  <c r="N230" i="3" s="1"/>
  <c r="P230" i="3" s="1"/>
  <c r="Q230" i="3" s="1"/>
  <c r="N248" i="3"/>
  <c r="P248" i="3" s="1"/>
  <c r="Q248" i="3" s="1"/>
  <c r="M253" i="3"/>
  <c r="N253" i="3" s="1"/>
  <c r="P253" i="3" s="1"/>
  <c r="Q253" i="3" s="1"/>
  <c r="M293" i="3"/>
  <c r="N293" i="3" s="1"/>
  <c r="P293" i="3" s="1"/>
  <c r="Q293" i="3" s="1"/>
  <c r="N370" i="3"/>
  <c r="P370" i="3" s="1"/>
  <c r="Q370" i="3" s="1"/>
  <c r="N424" i="3"/>
  <c r="P424" i="3" s="1"/>
  <c r="Q424" i="3" s="1"/>
  <c r="M424" i="3"/>
  <c r="N515" i="3"/>
  <c r="P515" i="3" s="1"/>
  <c r="Q515" i="3" s="1"/>
  <c r="N582" i="3"/>
  <c r="P582" i="3" s="1"/>
  <c r="Q582" i="3" s="1"/>
  <c r="N606" i="3"/>
  <c r="P606" i="3" s="1"/>
  <c r="Q606" i="3" s="1"/>
  <c r="M646" i="3"/>
  <c r="M731" i="3"/>
  <c r="N731" i="3" s="1"/>
  <c r="P731" i="3" s="1"/>
  <c r="Q731" i="3" s="1"/>
  <c r="N892" i="3"/>
  <c r="P892" i="3" s="1"/>
  <c r="Q892" i="3" s="1"/>
  <c r="M27" i="3"/>
  <c r="N27" i="3" s="1"/>
  <c r="P27" i="3" s="1"/>
  <c r="Q27" i="3" s="1"/>
  <c r="M51" i="3"/>
  <c r="N51" i="3" s="1"/>
  <c r="P51" i="3" s="1"/>
  <c r="Q51" i="3" s="1"/>
  <c r="N303" i="3"/>
  <c r="P303" i="3" s="1"/>
  <c r="Q303" i="3" s="1"/>
  <c r="M339" i="3"/>
  <c r="N339" i="3" s="1"/>
  <c r="P339" i="3" s="1"/>
  <c r="Q339" i="3" s="1"/>
  <c r="N394" i="3"/>
  <c r="P394" i="3" s="1"/>
  <c r="Q394" i="3" s="1"/>
  <c r="M394" i="3"/>
  <c r="M456" i="3"/>
  <c r="M678" i="3"/>
  <c r="N678" i="3" s="1"/>
  <c r="P678" i="3" s="1"/>
  <c r="Q678" i="3" s="1"/>
  <c r="C4" i="2"/>
  <c r="M219" i="3"/>
  <c r="N219" i="3" s="1"/>
  <c r="P219" i="3" s="1"/>
  <c r="Q219" i="3" s="1"/>
  <c r="M256" i="3"/>
  <c r="N256" i="3" s="1"/>
  <c r="P256" i="3" s="1"/>
  <c r="Q256" i="3" s="1"/>
  <c r="N420" i="3"/>
  <c r="P420" i="3" s="1"/>
  <c r="Q420" i="3" s="1"/>
  <c r="M463" i="3"/>
  <c r="N463" i="3" s="1"/>
  <c r="P463" i="3" s="1"/>
  <c r="Q463" i="3" s="1"/>
  <c r="N554" i="3"/>
  <c r="P554" i="3" s="1"/>
  <c r="Q554" i="3" s="1"/>
  <c r="M554" i="3"/>
  <c r="M614" i="3"/>
  <c r="N614" i="3" s="1"/>
  <c r="P614" i="3" s="1"/>
  <c r="Q614" i="3" s="1"/>
  <c r="N845" i="3"/>
  <c r="P845" i="3" s="1"/>
  <c r="Q845" i="3" s="1"/>
  <c r="M934" i="3"/>
  <c r="N934" i="3" s="1"/>
  <c r="P934" i="3" s="1"/>
  <c r="Q934" i="3" s="1"/>
  <c r="I18" i="2"/>
  <c r="C13" i="2"/>
  <c r="M21" i="3"/>
  <c r="N21" i="3" s="1"/>
  <c r="M149" i="3"/>
  <c r="N149" i="3" s="1"/>
  <c r="P149" i="3" s="1"/>
  <c r="Q149" i="3" s="1"/>
  <c r="M220" i="3"/>
  <c r="N220" i="3" s="1"/>
  <c r="P220" i="3" s="1"/>
  <c r="Q220" i="3" s="1"/>
  <c r="M310" i="3"/>
  <c r="N310" i="3" s="1"/>
  <c r="P310" i="3" s="1"/>
  <c r="Q310" i="3" s="1"/>
  <c r="N66" i="3"/>
  <c r="P66" i="3" s="1"/>
  <c r="Q66" i="3" s="1"/>
  <c r="M66" i="3"/>
  <c r="P14" i="3"/>
  <c r="Q14" i="3" s="1"/>
  <c r="N58" i="3"/>
  <c r="P58" i="3" s="1"/>
  <c r="Q58" i="3" s="1"/>
  <c r="M182" i="3"/>
  <c r="N182" i="3" s="1"/>
  <c r="P182" i="3" s="1"/>
  <c r="Q182" i="3" s="1"/>
  <c r="M279" i="3"/>
  <c r="N279" i="3" s="1"/>
  <c r="P279" i="3" s="1"/>
  <c r="Q279" i="3" s="1"/>
  <c r="M302" i="3"/>
  <c r="N302" i="3" s="1"/>
  <c r="P302" i="3" s="1"/>
  <c r="Q302" i="3" s="1"/>
  <c r="N319" i="3"/>
  <c r="P319" i="3" s="1"/>
  <c r="Q319" i="3" s="1"/>
  <c r="M338" i="3"/>
  <c r="N338" i="3" s="1"/>
  <c r="P338" i="3" s="1"/>
  <c r="Q338" i="3" s="1"/>
  <c r="M343" i="3"/>
  <c r="N343" i="3" s="1"/>
  <c r="P343" i="3" s="1"/>
  <c r="Q343" i="3" s="1"/>
  <c r="M408" i="3"/>
  <c r="N408" i="3" s="1"/>
  <c r="P408" i="3" s="1"/>
  <c r="Q408" i="3" s="1"/>
  <c r="N423" i="3"/>
  <c r="P423" i="3" s="1"/>
  <c r="Q423" i="3" s="1"/>
  <c r="M423" i="3"/>
  <c r="N469" i="3"/>
  <c r="P469" i="3" s="1"/>
  <c r="Q469" i="3" s="1"/>
  <c r="M494" i="3"/>
  <c r="N494" i="3" s="1"/>
  <c r="P494" i="3" s="1"/>
  <c r="Q494" i="3" s="1"/>
  <c r="M600" i="3"/>
  <c r="N600" i="3" s="1"/>
  <c r="P600" i="3" s="1"/>
  <c r="Q600" i="3" s="1"/>
  <c r="M621" i="3"/>
  <c r="N621" i="3" s="1"/>
  <c r="P621" i="3" s="1"/>
  <c r="Q621" i="3" s="1"/>
  <c r="M787" i="3"/>
  <c r="M903" i="3"/>
  <c r="N903" i="3"/>
  <c r="P903" i="3" s="1"/>
  <c r="Q903" i="3" s="1"/>
  <c r="M908" i="3"/>
  <c r="N908" i="3" s="1"/>
  <c r="P908" i="3" s="1"/>
  <c r="Q908" i="3" s="1"/>
  <c r="M13" i="3"/>
  <c r="N13" i="3" s="1"/>
  <c r="M61" i="3"/>
  <c r="N61" i="3" s="1"/>
  <c r="P61" i="3" s="1"/>
  <c r="Q61" i="3" s="1"/>
  <c r="M120" i="3"/>
  <c r="M283" i="3"/>
  <c r="N283" i="3"/>
  <c r="P283" i="3" s="1"/>
  <c r="Q283" i="3" s="1"/>
  <c r="M291" i="3"/>
  <c r="N291" i="3" s="1"/>
  <c r="P291" i="3" s="1"/>
  <c r="Q291" i="3" s="1"/>
  <c r="P296" i="3"/>
  <c r="Q296" i="3" s="1"/>
  <c r="I4" i="2"/>
  <c r="I19" i="2"/>
  <c r="N30" i="3"/>
  <c r="P30" i="3" s="1"/>
  <c r="Q30" i="3" s="1"/>
  <c r="M108" i="3"/>
  <c r="N108" i="3" s="1"/>
  <c r="P108" i="3" s="1"/>
  <c r="Q108" i="3" s="1"/>
  <c r="M172" i="3"/>
  <c r="N172" i="3" s="1"/>
  <c r="P172" i="3" s="1"/>
  <c r="Q172" i="3" s="1"/>
  <c r="N203" i="3"/>
  <c r="P203" i="3" s="1"/>
  <c r="Q203" i="3" s="1"/>
  <c r="N242" i="3"/>
  <c r="P242" i="3" s="1"/>
  <c r="Q242" i="3" s="1"/>
  <c r="N288" i="3"/>
  <c r="P288" i="3" s="1"/>
  <c r="Q288" i="3" s="1"/>
  <c r="N351" i="3"/>
  <c r="P351" i="3" s="1"/>
  <c r="Q351" i="3" s="1"/>
  <c r="M351" i="3"/>
  <c r="N402" i="3"/>
  <c r="P402" i="3" s="1"/>
  <c r="Q402" i="3" s="1"/>
  <c r="N445" i="3"/>
  <c r="P445" i="3" s="1"/>
  <c r="Q445" i="3" s="1"/>
  <c r="N519" i="3"/>
  <c r="P519" i="3" s="1"/>
  <c r="Q519" i="3" s="1"/>
  <c r="M541" i="3"/>
  <c r="N541" i="3" s="1"/>
  <c r="P541" i="3" s="1"/>
  <c r="Q541" i="3" s="1"/>
  <c r="P659" i="3"/>
  <c r="Q659" i="3" s="1"/>
  <c r="M823" i="3"/>
  <c r="N823" i="3" s="1"/>
  <c r="P823" i="3" s="1"/>
  <c r="Q823" i="3" s="1"/>
  <c r="N919" i="3"/>
  <c r="P919" i="3" s="1"/>
  <c r="Q919" i="3" s="1"/>
  <c r="N940" i="3"/>
  <c r="P940" i="3" s="1"/>
  <c r="Q940" i="3" s="1"/>
  <c r="M104" i="3"/>
  <c r="N104" i="3" s="1"/>
  <c r="P104" i="3" s="1"/>
  <c r="Q104" i="3" s="1"/>
  <c r="N245" i="3"/>
  <c r="P245" i="3" s="1"/>
  <c r="Q245" i="3" s="1"/>
  <c r="N335" i="3"/>
  <c r="P335" i="3" s="1"/>
  <c r="Q335" i="3" s="1"/>
  <c r="M335" i="3"/>
  <c r="M358" i="3"/>
  <c r="N358" i="3" s="1"/>
  <c r="P358" i="3" s="1"/>
  <c r="Q358" i="3" s="1"/>
  <c r="M400" i="3"/>
  <c r="N400" i="3" s="1"/>
  <c r="P400" i="3" s="1"/>
  <c r="Q400" i="3" s="1"/>
  <c r="M453" i="3"/>
  <c r="N453" i="3" s="1"/>
  <c r="P453" i="3" s="1"/>
  <c r="Q453" i="3" s="1"/>
  <c r="M462" i="3"/>
  <c r="N462" i="3" s="1"/>
  <c r="P462" i="3" s="1"/>
  <c r="Q462" i="3" s="1"/>
  <c r="N466" i="3"/>
  <c r="P466" i="3" s="1"/>
  <c r="Q466" i="3" s="1"/>
  <c r="M574" i="3"/>
  <c r="N574" i="3" s="1"/>
  <c r="P574" i="3" s="1"/>
  <c r="Q574" i="3" s="1"/>
  <c r="N695" i="3"/>
  <c r="P695" i="3" s="1"/>
  <c r="Q695" i="3" s="1"/>
  <c r="N799" i="3"/>
  <c r="P799" i="3" s="1"/>
  <c r="Q799" i="3" s="1"/>
  <c r="M799" i="3"/>
  <c r="M835" i="3"/>
  <c r="N835" i="3"/>
  <c r="P835" i="3" s="1"/>
  <c r="Q835" i="3" s="1"/>
  <c r="M996" i="3"/>
  <c r="N996" i="3" s="1"/>
  <c r="P996" i="3" s="1"/>
  <c r="Q996" i="3" s="1"/>
  <c r="M11" i="3"/>
  <c r="N11" i="3" s="1"/>
  <c r="I24" i="2"/>
  <c r="N62" i="3"/>
  <c r="P62" i="3" s="1"/>
  <c r="Q62" i="3" s="1"/>
  <c r="N94" i="3"/>
  <c r="P94" i="3" s="1"/>
  <c r="Q94" i="3" s="1"/>
  <c r="N147" i="3"/>
  <c r="P147" i="3" s="1"/>
  <c r="Q147" i="3" s="1"/>
  <c r="M187" i="3"/>
  <c r="N187" i="3" s="1"/>
  <c r="P187" i="3" s="1"/>
  <c r="Q187" i="3" s="1"/>
  <c r="N198" i="3"/>
  <c r="P198" i="3" s="1"/>
  <c r="Q198" i="3" s="1"/>
  <c r="M198" i="3"/>
  <c r="M245" i="3"/>
  <c r="M258" i="3"/>
  <c r="N258" i="3" s="1"/>
  <c r="P258" i="3" s="1"/>
  <c r="Q258" i="3" s="1"/>
  <c r="N312" i="3"/>
  <c r="P312" i="3" s="1"/>
  <c r="Q312" i="3" s="1"/>
  <c r="N363" i="3"/>
  <c r="P363" i="3" s="1"/>
  <c r="Q363" i="3" s="1"/>
  <c r="N375" i="3"/>
  <c r="P375" i="3" s="1"/>
  <c r="Q375" i="3" s="1"/>
  <c r="M412" i="3"/>
  <c r="N412" i="3" s="1"/>
  <c r="P412" i="3" s="1"/>
  <c r="Q412" i="3" s="1"/>
  <c r="M421" i="3"/>
  <c r="N421" i="3" s="1"/>
  <c r="P421" i="3" s="1"/>
  <c r="Q421" i="3" s="1"/>
  <c r="M466" i="3"/>
  <c r="M470" i="3"/>
  <c r="N470" i="3" s="1"/>
  <c r="P470" i="3" s="1"/>
  <c r="Q470" i="3" s="1"/>
  <c r="N483" i="3"/>
  <c r="P483" i="3" s="1"/>
  <c r="Q483" i="3" s="1"/>
  <c r="M498" i="3"/>
  <c r="N498" i="3" s="1"/>
  <c r="P498" i="3" s="1"/>
  <c r="Q498" i="3" s="1"/>
  <c r="N558" i="3"/>
  <c r="P558" i="3" s="1"/>
  <c r="Q558" i="3" s="1"/>
  <c r="N570" i="3"/>
  <c r="P570" i="3" s="1"/>
  <c r="Q570" i="3" s="1"/>
  <c r="M570" i="3"/>
  <c r="N601" i="3"/>
  <c r="P601" i="3" s="1"/>
  <c r="Q601" i="3" s="1"/>
  <c r="M660" i="3"/>
  <c r="N660" i="3" s="1"/>
  <c r="P660" i="3" s="1"/>
  <c r="Q660" i="3" s="1"/>
  <c r="M695" i="3"/>
  <c r="P930" i="3"/>
  <c r="Q930" i="3" s="1"/>
  <c r="N946" i="3"/>
  <c r="P946" i="3" s="1"/>
  <c r="Q946" i="3" s="1"/>
  <c r="M955" i="3"/>
  <c r="N955" i="3" s="1"/>
  <c r="P955" i="3" s="1"/>
  <c r="Q955" i="3" s="1"/>
  <c r="M35" i="3"/>
  <c r="N35" i="3" s="1"/>
  <c r="N112" i="3"/>
  <c r="P112" i="3" s="1"/>
  <c r="Q112" i="3" s="1"/>
  <c r="M159" i="3"/>
  <c r="N159" i="3" s="1"/>
  <c r="P159" i="3" s="1"/>
  <c r="Q159" i="3" s="1"/>
  <c r="N184" i="3"/>
  <c r="P184" i="3" s="1"/>
  <c r="Q184" i="3" s="1"/>
  <c r="N188" i="3"/>
  <c r="P188" i="3" s="1"/>
  <c r="Q188" i="3" s="1"/>
  <c r="M188" i="3"/>
  <c r="M206" i="3"/>
  <c r="N206" i="3" s="1"/>
  <c r="P206" i="3" s="1"/>
  <c r="Q206" i="3" s="1"/>
  <c r="N213" i="3"/>
  <c r="P213" i="3" s="1"/>
  <c r="Q213" i="3" s="1"/>
  <c r="M300" i="3"/>
  <c r="N300" i="3" s="1"/>
  <c r="P300" i="3" s="1"/>
  <c r="Q300" i="3" s="1"/>
  <c r="M450" i="3"/>
  <c r="N450" i="3" s="1"/>
  <c r="P450" i="3" s="1"/>
  <c r="Q450" i="3" s="1"/>
  <c r="N499" i="3"/>
  <c r="P499" i="3" s="1"/>
  <c r="Q499" i="3" s="1"/>
  <c r="M508" i="3"/>
  <c r="N508" i="3" s="1"/>
  <c r="P508" i="3" s="1"/>
  <c r="Q508" i="3" s="1"/>
  <c r="M533" i="3"/>
  <c r="N533" i="3" s="1"/>
  <c r="P533" i="3" s="1"/>
  <c r="Q533" i="3" s="1"/>
  <c r="N611" i="3"/>
  <c r="P611" i="3" s="1"/>
  <c r="Q611" i="3" s="1"/>
  <c r="N756" i="3"/>
  <c r="P756" i="3" s="1"/>
  <c r="Q756" i="3" s="1"/>
  <c r="M756" i="3"/>
  <c r="M900" i="3"/>
  <c r="N900" i="3"/>
  <c r="P900" i="3" s="1"/>
  <c r="Q900" i="3" s="1"/>
  <c r="M997" i="3"/>
  <c r="N997" i="3" s="1"/>
  <c r="P997" i="3" s="1"/>
  <c r="Q997" i="3" s="1"/>
  <c r="M59" i="3"/>
  <c r="N59" i="3" s="1"/>
  <c r="M126" i="3"/>
  <c r="N126" i="3" s="1"/>
  <c r="P126" i="3" s="1"/>
  <c r="Q126" i="3" s="1"/>
  <c r="M155" i="3"/>
  <c r="N155" i="3" s="1"/>
  <c r="P155" i="3" s="1"/>
  <c r="Q155" i="3" s="1"/>
  <c r="M166" i="3"/>
  <c r="N166" i="3" s="1"/>
  <c r="P166" i="3" s="1"/>
  <c r="Q166" i="3" s="1"/>
  <c r="N255" i="3"/>
  <c r="P255" i="3" s="1"/>
  <c r="Q255" i="3" s="1"/>
  <c r="N301" i="3"/>
  <c r="P301" i="3" s="1"/>
  <c r="Q301" i="3" s="1"/>
  <c r="M301" i="3"/>
  <c r="M455" i="3"/>
  <c r="N455" i="3" s="1"/>
  <c r="P455" i="3" s="1"/>
  <c r="Q455" i="3" s="1"/>
  <c r="N491" i="3"/>
  <c r="P491" i="3" s="1"/>
  <c r="Q491" i="3" s="1"/>
  <c r="M518" i="3"/>
  <c r="N518" i="3" s="1"/>
  <c r="P518" i="3" s="1"/>
  <c r="Q518" i="3" s="1"/>
  <c r="M662" i="3"/>
  <c r="N662" i="3" s="1"/>
  <c r="P662" i="3" s="1"/>
  <c r="Q662" i="3" s="1"/>
  <c r="M686" i="3"/>
  <c r="N686" i="3" s="1"/>
  <c r="P686" i="3" s="1"/>
  <c r="Q686" i="3" s="1"/>
  <c r="M691" i="3"/>
  <c r="N691" i="3"/>
  <c r="P691" i="3" s="1"/>
  <c r="Q691" i="3" s="1"/>
  <c r="M806" i="3"/>
  <c r="N806" i="3" s="1"/>
  <c r="P806" i="3" s="1"/>
  <c r="Q806" i="3" s="1"/>
  <c r="M29" i="3"/>
  <c r="N29" i="3" s="1"/>
  <c r="P29" i="3" s="1"/>
  <c r="Q29" i="3" s="1"/>
  <c r="M36" i="3"/>
  <c r="N36" i="3" s="1"/>
  <c r="P36" i="3" s="1"/>
  <c r="Q36" i="3" s="1"/>
  <c r="M109" i="3"/>
  <c r="M148" i="3"/>
  <c r="M203" i="3"/>
  <c r="M210" i="3"/>
  <c r="M214" i="3"/>
  <c r="N214" i="3" s="1"/>
  <c r="P214" i="3" s="1"/>
  <c r="Q214" i="3" s="1"/>
  <c r="M239" i="3"/>
  <c r="M255" i="3"/>
  <c r="M274" i="3"/>
  <c r="N274" i="3" s="1"/>
  <c r="P274" i="3" s="1"/>
  <c r="Q274" i="3" s="1"/>
  <c r="M278" i="3"/>
  <c r="N278" i="3" s="1"/>
  <c r="P278" i="3" s="1"/>
  <c r="Q278" i="3" s="1"/>
  <c r="M309" i="3"/>
  <c r="N309" i="3" s="1"/>
  <c r="P309" i="3" s="1"/>
  <c r="Q309" i="3" s="1"/>
  <c r="N360" i="3"/>
  <c r="P360" i="3" s="1"/>
  <c r="Q360" i="3" s="1"/>
  <c r="M360" i="3"/>
  <c r="M625" i="3"/>
  <c r="N625" i="3"/>
  <c r="P625" i="3" s="1"/>
  <c r="Q625" i="3" s="1"/>
  <c r="M742" i="3"/>
  <c r="N742" i="3" s="1"/>
  <c r="P742" i="3" s="1"/>
  <c r="Q742" i="3" s="1"/>
  <c r="M982" i="3"/>
  <c r="N982" i="3" s="1"/>
  <c r="P982" i="3" s="1"/>
  <c r="Q982" i="3" s="1"/>
  <c r="N32" i="3"/>
  <c r="P32" i="3" s="1"/>
  <c r="Q32" i="3" s="1"/>
  <c r="M39" i="3"/>
  <c r="N39" i="3" s="1"/>
  <c r="P39" i="3" s="1"/>
  <c r="Q39" i="3" s="1"/>
  <c r="M77" i="3"/>
  <c r="N77" i="3" s="1"/>
  <c r="P77" i="3" s="1"/>
  <c r="Q77" i="3" s="1"/>
  <c r="M19" i="3"/>
  <c r="N19" i="3" s="1"/>
  <c r="N123" i="3"/>
  <c r="P123" i="3" s="1"/>
  <c r="Q123" i="3" s="1"/>
  <c r="M127" i="3"/>
  <c r="N127" i="3" s="1"/>
  <c r="P127" i="3" s="1"/>
  <c r="Q127" i="3" s="1"/>
  <c r="N152" i="3"/>
  <c r="P152" i="3" s="1"/>
  <c r="Q152" i="3" s="1"/>
  <c r="M156" i="3"/>
  <c r="N156" i="3" s="1"/>
  <c r="P156" i="3" s="1"/>
  <c r="Q156" i="3" s="1"/>
  <c r="N170" i="3"/>
  <c r="P170" i="3" s="1"/>
  <c r="Q170" i="3" s="1"/>
  <c r="M174" i="3"/>
  <c r="N174" i="3" s="1"/>
  <c r="P174" i="3" s="1"/>
  <c r="Q174" i="3" s="1"/>
  <c r="N181" i="3"/>
  <c r="P181" i="3" s="1"/>
  <c r="Q181" i="3" s="1"/>
  <c r="M247" i="3"/>
  <c r="N247" i="3" s="1"/>
  <c r="P247" i="3" s="1"/>
  <c r="Q247" i="3" s="1"/>
  <c r="N251" i="3"/>
  <c r="P251" i="3" s="1"/>
  <c r="Q251" i="3" s="1"/>
  <c r="M282" i="3"/>
  <c r="N282" i="3" s="1"/>
  <c r="P282" i="3" s="1"/>
  <c r="Q282" i="3" s="1"/>
  <c r="M341" i="3"/>
  <c r="N341" i="3" s="1"/>
  <c r="P341" i="3" s="1"/>
  <c r="Q341" i="3" s="1"/>
  <c r="N389" i="3"/>
  <c r="P389" i="3" s="1"/>
  <c r="Q389" i="3" s="1"/>
  <c r="M476" i="3"/>
  <c r="N476" i="3" s="1"/>
  <c r="P476" i="3" s="1"/>
  <c r="Q476" i="3" s="1"/>
  <c r="M480" i="3"/>
  <c r="N480" i="3" s="1"/>
  <c r="P480" i="3" s="1"/>
  <c r="Q480" i="3" s="1"/>
  <c r="N500" i="3"/>
  <c r="P500" i="3" s="1"/>
  <c r="Q500" i="3" s="1"/>
  <c r="M594" i="3"/>
  <c r="N594" i="3" s="1"/>
  <c r="P594" i="3" s="1"/>
  <c r="Q594" i="3" s="1"/>
  <c r="N643" i="3"/>
  <c r="P643" i="3" s="1"/>
  <c r="Q643" i="3" s="1"/>
  <c r="M677" i="3"/>
  <c r="N677" i="3" s="1"/>
  <c r="P677" i="3" s="1"/>
  <c r="Q677" i="3" s="1"/>
  <c r="N707" i="3"/>
  <c r="P707" i="3" s="1"/>
  <c r="Q707" i="3" s="1"/>
  <c r="M932" i="3"/>
  <c r="N932" i="3"/>
  <c r="P932" i="3" s="1"/>
  <c r="Q932" i="3" s="1"/>
  <c r="M966" i="3"/>
  <c r="N966" i="3" s="1"/>
  <c r="P966" i="3" s="1"/>
  <c r="Q966" i="3" s="1"/>
  <c r="M158" i="3"/>
  <c r="N158" i="3" s="1"/>
  <c r="P158" i="3" s="1"/>
  <c r="Q158" i="3" s="1"/>
  <c r="N190" i="3"/>
  <c r="P190" i="3" s="1"/>
  <c r="Q190" i="3" s="1"/>
  <c r="M190" i="3"/>
  <c r="M222" i="3"/>
  <c r="N222" i="3" s="1"/>
  <c r="P222" i="3" s="1"/>
  <c r="Q222" i="3" s="1"/>
  <c r="M246" i="3"/>
  <c r="N246" i="3" s="1"/>
  <c r="P246" i="3" s="1"/>
  <c r="Q246" i="3" s="1"/>
  <c r="M270" i="3"/>
  <c r="N270" i="3" s="1"/>
  <c r="P270" i="3" s="1"/>
  <c r="Q270" i="3" s="1"/>
  <c r="M294" i="3"/>
  <c r="N294" i="3" s="1"/>
  <c r="P294" i="3" s="1"/>
  <c r="Q294" i="3" s="1"/>
  <c r="M334" i="3"/>
  <c r="N334" i="3" s="1"/>
  <c r="P334" i="3" s="1"/>
  <c r="Q334" i="3" s="1"/>
  <c r="N392" i="3"/>
  <c r="P392" i="3" s="1"/>
  <c r="Q392" i="3" s="1"/>
  <c r="M406" i="3"/>
  <c r="N406" i="3" s="1"/>
  <c r="P406" i="3" s="1"/>
  <c r="Q406" i="3" s="1"/>
  <c r="M464" i="3"/>
  <c r="N464" i="3" s="1"/>
  <c r="P464" i="3" s="1"/>
  <c r="Q464" i="3" s="1"/>
  <c r="N608" i="3"/>
  <c r="P608" i="3" s="1"/>
  <c r="Q608" i="3" s="1"/>
  <c r="M608" i="3"/>
  <c r="N628" i="3"/>
  <c r="P628" i="3" s="1"/>
  <c r="Q628" i="3" s="1"/>
  <c r="N674" i="3"/>
  <c r="P674" i="3" s="1"/>
  <c r="Q674" i="3" s="1"/>
  <c r="M702" i="3"/>
  <c r="N702" i="3" s="1"/>
  <c r="P702" i="3" s="1"/>
  <c r="Q702" i="3" s="1"/>
  <c r="M757" i="3"/>
  <c r="N757" i="3" s="1"/>
  <c r="P757" i="3" s="1"/>
  <c r="Q757" i="3" s="1"/>
  <c r="P767" i="3"/>
  <c r="Q767" i="3" s="1"/>
  <c r="M909" i="3"/>
  <c r="N909" i="3" s="1"/>
  <c r="P909" i="3" s="1"/>
  <c r="Q909" i="3" s="1"/>
  <c r="N372" i="3"/>
  <c r="P372" i="3" s="1"/>
  <c r="Q372" i="3" s="1"/>
  <c r="M430" i="3"/>
  <c r="N430" i="3" s="1"/>
  <c r="P430" i="3" s="1"/>
  <c r="Q430" i="3" s="1"/>
  <c r="N549" i="3"/>
  <c r="P549" i="3" s="1"/>
  <c r="Q549" i="3" s="1"/>
  <c r="M670" i="3"/>
  <c r="N670" i="3" s="1"/>
  <c r="P670" i="3" s="1"/>
  <c r="Q670" i="3" s="1"/>
  <c r="M798" i="3"/>
  <c r="N798" i="3" s="1"/>
  <c r="P798" i="3" s="1"/>
  <c r="Q798" i="3" s="1"/>
  <c r="N826" i="3"/>
  <c r="P826" i="3" s="1"/>
  <c r="Q826" i="3" s="1"/>
  <c r="M67" i="3"/>
  <c r="N67" i="3" s="1"/>
  <c r="P67" i="3" s="1"/>
  <c r="Q67" i="3" s="1"/>
  <c r="M75" i="3"/>
  <c r="N75" i="3" s="1"/>
  <c r="P75" i="3" s="1"/>
  <c r="Q75" i="3" s="1"/>
  <c r="M83" i="3"/>
  <c r="N83" i="3" s="1"/>
  <c r="P83" i="3" s="1"/>
  <c r="Q83" i="3" s="1"/>
  <c r="M91" i="3"/>
  <c r="N91" i="3" s="1"/>
  <c r="P91" i="3" s="1"/>
  <c r="Q91" i="3" s="1"/>
  <c r="M99" i="3"/>
  <c r="N99" i="3" s="1"/>
  <c r="P99" i="3" s="1"/>
  <c r="Q99" i="3" s="1"/>
  <c r="M107" i="3"/>
  <c r="N107" i="3" s="1"/>
  <c r="M118" i="3"/>
  <c r="N118" i="3" s="1"/>
  <c r="P118" i="3" s="1"/>
  <c r="Q118" i="3" s="1"/>
  <c r="M138" i="3"/>
  <c r="M170" i="3"/>
  <c r="M202" i="3"/>
  <c r="N202" i="3" s="1"/>
  <c r="P202" i="3" s="1"/>
  <c r="Q202" i="3" s="1"/>
  <c r="M319" i="3"/>
  <c r="M328" i="3"/>
  <c r="M344" i="3"/>
  <c r="N344" i="3" s="1"/>
  <c r="P344" i="3" s="1"/>
  <c r="Q344" i="3" s="1"/>
  <c r="M372" i="3"/>
  <c r="M413" i="3"/>
  <c r="N413" i="3" s="1"/>
  <c r="P413" i="3" s="1"/>
  <c r="Q413" i="3" s="1"/>
  <c r="M420" i="3"/>
  <c r="M437" i="3"/>
  <c r="N437" i="3" s="1"/>
  <c r="P437" i="3" s="1"/>
  <c r="Q437" i="3" s="1"/>
  <c r="M478" i="3"/>
  <c r="N478" i="3" s="1"/>
  <c r="P478" i="3" s="1"/>
  <c r="Q478" i="3" s="1"/>
  <c r="M510" i="3"/>
  <c r="N510" i="3" s="1"/>
  <c r="P510" i="3" s="1"/>
  <c r="Q510" i="3" s="1"/>
  <c r="M542" i="3"/>
  <c r="N542" i="3" s="1"/>
  <c r="P542" i="3" s="1"/>
  <c r="Q542" i="3" s="1"/>
  <c r="M549" i="3"/>
  <c r="N575" i="3"/>
  <c r="P575" i="3" s="1"/>
  <c r="Q575" i="3" s="1"/>
  <c r="M579" i="3"/>
  <c r="N579" i="3" s="1"/>
  <c r="P579" i="3" s="1"/>
  <c r="Q579" i="3" s="1"/>
  <c r="M583" i="3"/>
  <c r="M632" i="3"/>
  <c r="N632" i="3" s="1"/>
  <c r="P632" i="3" s="1"/>
  <c r="Q632" i="3" s="1"/>
  <c r="M707" i="3"/>
  <c r="P729" i="3"/>
  <c r="Q729" i="3" s="1"/>
  <c r="P740" i="3"/>
  <c r="Q740" i="3" s="1"/>
  <c r="M762" i="3"/>
  <c r="N762" i="3" s="1"/>
  <c r="P762" i="3" s="1"/>
  <c r="Q762" i="3" s="1"/>
  <c r="N772" i="3"/>
  <c r="P772" i="3" s="1"/>
  <c r="Q772" i="3" s="1"/>
  <c r="M877" i="3"/>
  <c r="N877" i="3" s="1"/>
  <c r="P877" i="3" s="1"/>
  <c r="Q877" i="3" s="1"/>
  <c r="M899" i="3"/>
  <c r="N899" i="3" s="1"/>
  <c r="P899" i="3" s="1"/>
  <c r="Q899" i="3" s="1"/>
  <c r="N943" i="3"/>
  <c r="P943" i="3" s="1"/>
  <c r="Q943" i="3" s="1"/>
  <c r="M973" i="3"/>
  <c r="N973" i="3" s="1"/>
  <c r="P973" i="3" s="1"/>
  <c r="Q973" i="3" s="1"/>
  <c r="N110" i="3"/>
  <c r="P110" i="3" s="1"/>
  <c r="Q110" i="3" s="1"/>
  <c r="M366" i="3"/>
  <c r="N366" i="3" s="1"/>
  <c r="P366" i="3" s="1"/>
  <c r="Q366" i="3" s="1"/>
  <c r="M376" i="3"/>
  <c r="N376" i="3" s="1"/>
  <c r="P376" i="3" s="1"/>
  <c r="Q376" i="3" s="1"/>
  <c r="M503" i="3"/>
  <c r="N503" i="3" s="1"/>
  <c r="P503" i="3" s="1"/>
  <c r="Q503" i="3" s="1"/>
  <c r="N813" i="3"/>
  <c r="P813" i="3" s="1"/>
  <c r="Q813" i="3" s="1"/>
  <c r="M860" i="3"/>
  <c r="N860" i="3"/>
  <c r="P860" i="3" s="1"/>
  <c r="Q860" i="3" s="1"/>
  <c r="M915" i="3"/>
  <c r="N915" i="3"/>
  <c r="P915" i="3" s="1"/>
  <c r="Q915" i="3" s="1"/>
  <c r="N978" i="3"/>
  <c r="P978" i="3" s="1"/>
  <c r="Q978" i="3" s="1"/>
  <c r="N277" i="3"/>
  <c r="P277" i="3" s="1"/>
  <c r="Q277" i="3" s="1"/>
  <c r="M458" i="3"/>
  <c r="N458" i="3" s="1"/>
  <c r="P458" i="3" s="1"/>
  <c r="Q458" i="3" s="1"/>
  <c r="M725" i="3"/>
  <c r="N725" i="3" s="1"/>
  <c r="P725" i="3" s="1"/>
  <c r="Q725" i="3" s="1"/>
  <c r="M238" i="3"/>
  <c r="N238" i="3" s="1"/>
  <c r="P238" i="3" s="1"/>
  <c r="Q238" i="3" s="1"/>
  <c r="M262" i="3"/>
  <c r="N262" i="3" s="1"/>
  <c r="P262" i="3" s="1"/>
  <c r="Q262" i="3" s="1"/>
  <c r="M277" i="3"/>
  <c r="M373" i="3"/>
  <c r="N373" i="3" s="1"/>
  <c r="P373" i="3" s="1"/>
  <c r="Q373" i="3" s="1"/>
  <c r="M414" i="3"/>
  <c r="N414" i="3" s="1"/>
  <c r="P414" i="3" s="1"/>
  <c r="Q414" i="3" s="1"/>
  <c r="N438" i="3"/>
  <c r="P438" i="3" s="1"/>
  <c r="Q438" i="3" s="1"/>
  <c r="M438" i="3"/>
  <c r="M472" i="3"/>
  <c r="N472" i="3" s="1"/>
  <c r="P472" i="3" s="1"/>
  <c r="Q472" i="3" s="1"/>
  <c r="M507" i="3"/>
  <c r="N507" i="3" s="1"/>
  <c r="P507" i="3" s="1"/>
  <c r="Q507" i="3" s="1"/>
  <c r="N539" i="3"/>
  <c r="P539" i="3" s="1"/>
  <c r="Q539" i="3" s="1"/>
  <c r="N546" i="3"/>
  <c r="P546" i="3" s="1"/>
  <c r="Q546" i="3" s="1"/>
  <c r="N580" i="3"/>
  <c r="P580" i="3" s="1"/>
  <c r="Q580" i="3" s="1"/>
  <c r="P641" i="3"/>
  <c r="Q641" i="3" s="1"/>
  <c r="M708" i="3"/>
  <c r="N708" i="3" s="1"/>
  <c r="P708" i="3" s="1"/>
  <c r="Q708" i="3" s="1"/>
  <c r="M741" i="3"/>
  <c r="N741" i="3" s="1"/>
  <c r="P741" i="3" s="1"/>
  <c r="Q741" i="3" s="1"/>
  <c r="N759" i="3"/>
  <c r="P759" i="3" s="1"/>
  <c r="Q759" i="3" s="1"/>
  <c r="M764" i="3"/>
  <c r="N764" i="3"/>
  <c r="P764" i="3" s="1"/>
  <c r="Q764" i="3" s="1"/>
  <c r="M782" i="3"/>
  <c r="N782" i="3" s="1"/>
  <c r="P782" i="3" s="1"/>
  <c r="Q782" i="3" s="1"/>
  <c r="N786" i="3"/>
  <c r="P786" i="3" s="1"/>
  <c r="Q786" i="3" s="1"/>
  <c r="N791" i="3"/>
  <c r="P791" i="3" s="1"/>
  <c r="Q791" i="3" s="1"/>
  <c r="M791" i="3"/>
  <c r="P911" i="3"/>
  <c r="Q911" i="3" s="1"/>
  <c r="M925" i="3"/>
  <c r="N925" i="3" s="1"/>
  <c r="P925" i="3" s="1"/>
  <c r="Q925" i="3" s="1"/>
  <c r="M939" i="3"/>
  <c r="N939" i="3"/>
  <c r="P939" i="3" s="1"/>
  <c r="Q939" i="3" s="1"/>
  <c r="M965" i="3"/>
  <c r="N965" i="3" s="1"/>
  <c r="P965" i="3" s="1"/>
  <c r="Q965" i="3" s="1"/>
  <c r="N384" i="3"/>
  <c r="P384" i="3" s="1"/>
  <c r="Q384" i="3" s="1"/>
  <c r="M390" i="3"/>
  <c r="N390" i="3" s="1"/>
  <c r="P390" i="3" s="1"/>
  <c r="Q390" i="3" s="1"/>
  <c r="N448" i="3"/>
  <c r="P448" i="3" s="1"/>
  <c r="Q448" i="3" s="1"/>
  <c r="M454" i="3"/>
  <c r="N454" i="3" s="1"/>
  <c r="P454" i="3" s="1"/>
  <c r="Q454" i="3" s="1"/>
  <c r="N485" i="3"/>
  <c r="P485" i="3" s="1"/>
  <c r="Q485" i="3" s="1"/>
  <c r="N514" i="3"/>
  <c r="P514" i="3" s="1"/>
  <c r="Q514" i="3" s="1"/>
  <c r="M514" i="3"/>
  <c r="N530" i="3"/>
  <c r="P530" i="3" s="1"/>
  <c r="Q530" i="3" s="1"/>
  <c r="M553" i="3"/>
  <c r="N553" i="3" s="1"/>
  <c r="P553" i="3" s="1"/>
  <c r="Q553" i="3" s="1"/>
  <c r="M593" i="3"/>
  <c r="N593" i="3"/>
  <c r="P593" i="3" s="1"/>
  <c r="Q593" i="3" s="1"/>
  <c r="N610" i="3"/>
  <c r="P610" i="3" s="1"/>
  <c r="Q610" i="3" s="1"/>
  <c r="N658" i="3"/>
  <c r="P658" i="3" s="1"/>
  <c r="Q658" i="3" s="1"/>
  <c r="N979" i="3"/>
  <c r="P979" i="3" s="1"/>
  <c r="Q979" i="3" s="1"/>
  <c r="N988" i="3"/>
  <c r="P988" i="3" s="1"/>
  <c r="Q988" i="3" s="1"/>
  <c r="N640" i="3"/>
  <c r="P640" i="3" s="1"/>
  <c r="Q640" i="3" s="1"/>
  <c r="N717" i="3"/>
  <c r="P717" i="3" s="1"/>
  <c r="Q717" i="3" s="1"/>
  <c r="N810" i="3"/>
  <c r="P810" i="3" s="1"/>
  <c r="Q810" i="3" s="1"/>
  <c r="M810" i="3"/>
  <c r="M489" i="3"/>
  <c r="N489" i="3" s="1"/>
  <c r="P489" i="3" s="1"/>
  <c r="Q489" i="3" s="1"/>
  <c r="M581" i="3"/>
  <c r="N581" i="3" s="1"/>
  <c r="P581" i="3" s="1"/>
  <c r="Q581" i="3" s="1"/>
  <c r="M640" i="3"/>
  <c r="N644" i="3"/>
  <c r="P644" i="3" s="1"/>
  <c r="Q644" i="3" s="1"/>
  <c r="M655" i="3"/>
  <c r="N655" i="3" s="1"/>
  <c r="P655" i="3" s="1"/>
  <c r="Q655" i="3" s="1"/>
  <c r="M667" i="3"/>
  <c r="N667" i="3" s="1"/>
  <c r="P667" i="3" s="1"/>
  <c r="Q667" i="3" s="1"/>
  <c r="M671" i="3"/>
  <c r="N671" i="3" s="1"/>
  <c r="P671" i="3" s="1"/>
  <c r="Q671" i="3" s="1"/>
  <c r="N710" i="3"/>
  <c r="P710" i="3" s="1"/>
  <c r="Q710" i="3" s="1"/>
  <c r="M710" i="3"/>
  <c r="M717" i="3"/>
  <c r="N747" i="3"/>
  <c r="P747" i="3" s="1"/>
  <c r="Q747" i="3" s="1"/>
  <c r="N765" i="3"/>
  <c r="P765" i="3" s="1"/>
  <c r="Q765" i="3" s="1"/>
  <c r="M802" i="3"/>
  <c r="N802" i="3" s="1"/>
  <c r="P802" i="3" s="1"/>
  <c r="Q802" i="3" s="1"/>
  <c r="N828" i="3"/>
  <c r="P828" i="3" s="1"/>
  <c r="Q828" i="3" s="1"/>
  <c r="M858" i="3"/>
  <c r="N858" i="3" s="1"/>
  <c r="P858" i="3" s="1"/>
  <c r="Q858" i="3" s="1"/>
  <c r="M862" i="3"/>
  <c r="N862" i="3" s="1"/>
  <c r="P862" i="3" s="1"/>
  <c r="Q862" i="3" s="1"/>
  <c r="N869" i="3"/>
  <c r="P869" i="3" s="1"/>
  <c r="Q869" i="3" s="1"/>
  <c r="N898" i="3"/>
  <c r="P898" i="3" s="1"/>
  <c r="Q898" i="3" s="1"/>
  <c r="M948" i="3"/>
  <c r="N948" i="3" s="1"/>
  <c r="P948" i="3" s="1"/>
  <c r="Q948" i="3" s="1"/>
  <c r="M254" i="3"/>
  <c r="N254" i="3" s="1"/>
  <c r="P254" i="3" s="1"/>
  <c r="Q254" i="3" s="1"/>
  <c r="M286" i="3"/>
  <c r="N286" i="3" s="1"/>
  <c r="P286" i="3" s="1"/>
  <c r="Q286" i="3" s="1"/>
  <c r="N318" i="3"/>
  <c r="P318" i="3" s="1"/>
  <c r="Q318" i="3" s="1"/>
  <c r="M318" i="3"/>
  <c r="M350" i="3"/>
  <c r="N350" i="3" s="1"/>
  <c r="P350" i="3" s="1"/>
  <c r="Q350" i="3" s="1"/>
  <c r="M382" i="3"/>
  <c r="N382" i="3" s="1"/>
  <c r="P382" i="3" s="1"/>
  <c r="Q382" i="3" s="1"/>
  <c r="N440" i="3"/>
  <c r="P440" i="3" s="1"/>
  <c r="Q440" i="3" s="1"/>
  <c r="M446" i="3"/>
  <c r="N446" i="3" s="1"/>
  <c r="P446" i="3" s="1"/>
  <c r="Q446" i="3" s="1"/>
  <c r="M505" i="3"/>
  <c r="N505" i="3" s="1"/>
  <c r="P505" i="3" s="1"/>
  <c r="Q505" i="3" s="1"/>
  <c r="N509" i="3"/>
  <c r="P509" i="3" s="1"/>
  <c r="Q509" i="3" s="1"/>
  <c r="M567" i="3"/>
  <c r="N567" i="3" s="1"/>
  <c r="P567" i="3" s="1"/>
  <c r="Q567" i="3" s="1"/>
  <c r="M604" i="3"/>
  <c r="N604" i="3" s="1"/>
  <c r="P604" i="3" s="1"/>
  <c r="Q604" i="3" s="1"/>
  <c r="M615" i="3"/>
  <c r="N615" i="3" s="1"/>
  <c r="P615" i="3" s="1"/>
  <c r="Q615" i="3" s="1"/>
  <c r="P721" i="3"/>
  <c r="Q721" i="3" s="1"/>
  <c r="P730" i="3"/>
  <c r="Q730" i="3" s="1"/>
  <c r="M765" i="3"/>
  <c r="M828" i="3"/>
  <c r="M837" i="3"/>
  <c r="N837" i="3" s="1"/>
  <c r="P837" i="3" s="1"/>
  <c r="Q837" i="3" s="1"/>
  <c r="M850" i="3"/>
  <c r="N850" i="3"/>
  <c r="P850" i="3" s="1"/>
  <c r="Q850" i="3" s="1"/>
  <c r="M869" i="3"/>
  <c r="M675" i="3"/>
  <c r="N675" i="3" s="1"/>
  <c r="P675" i="3" s="1"/>
  <c r="Q675" i="3" s="1"/>
  <c r="N727" i="3"/>
  <c r="P727" i="3" s="1"/>
  <c r="Q727" i="3" s="1"/>
  <c r="N878" i="3"/>
  <c r="P878" i="3" s="1"/>
  <c r="Q878" i="3" s="1"/>
  <c r="M885" i="3"/>
  <c r="N885" i="3" s="1"/>
  <c r="P885" i="3" s="1"/>
  <c r="Q885" i="3" s="1"/>
  <c r="M901" i="3"/>
  <c r="N901" i="3" s="1"/>
  <c r="P901" i="3" s="1"/>
  <c r="Q901" i="3" s="1"/>
  <c r="P956" i="3"/>
  <c r="Q956" i="3" s="1"/>
  <c r="N525" i="3"/>
  <c r="P525" i="3" s="1"/>
  <c r="Q525" i="3" s="1"/>
  <c r="N657" i="3"/>
  <c r="P657" i="3" s="1"/>
  <c r="Q657" i="3" s="1"/>
  <c r="N668" i="3"/>
  <c r="P668" i="3" s="1"/>
  <c r="Q668" i="3" s="1"/>
  <c r="N690" i="3"/>
  <c r="P690" i="3" s="1"/>
  <c r="Q690" i="3" s="1"/>
  <c r="M727" i="3"/>
  <c r="P753" i="3"/>
  <c r="Q753" i="3" s="1"/>
  <c r="M773" i="3"/>
  <c r="N773" i="3" s="1"/>
  <c r="P773" i="3" s="1"/>
  <c r="Q773" i="3" s="1"/>
  <c r="P784" i="3"/>
  <c r="Q784" i="3" s="1"/>
  <c r="M788" i="3"/>
  <c r="N788" i="3" s="1"/>
  <c r="P788" i="3" s="1"/>
  <c r="Q788" i="3" s="1"/>
  <c r="N814" i="3"/>
  <c r="P814" i="3" s="1"/>
  <c r="Q814" i="3" s="1"/>
  <c r="P817" i="3"/>
  <c r="Q817" i="3" s="1"/>
  <c r="N853" i="3"/>
  <c r="P853" i="3" s="1"/>
  <c r="Q853" i="3" s="1"/>
  <c r="M853" i="3"/>
  <c r="M878" i="3"/>
  <c r="M893" i="3"/>
  <c r="N893" i="3" s="1"/>
  <c r="P893" i="3" s="1"/>
  <c r="Q893" i="3" s="1"/>
  <c r="M917" i="3"/>
  <c r="N917" i="3" s="1"/>
  <c r="P917" i="3" s="1"/>
  <c r="Q917" i="3" s="1"/>
  <c r="M933" i="3"/>
  <c r="N933" i="3" s="1"/>
  <c r="P933" i="3" s="1"/>
  <c r="Q933" i="3" s="1"/>
  <c r="M941" i="3"/>
  <c r="N941" i="3" s="1"/>
  <c r="P941" i="3" s="1"/>
  <c r="Q941" i="3" s="1"/>
  <c r="M949" i="3"/>
  <c r="N949" i="3" s="1"/>
  <c r="P949" i="3" s="1"/>
  <c r="Q949" i="3" s="1"/>
  <c r="N986" i="3"/>
  <c r="P986" i="3" s="1"/>
  <c r="Q986" i="3" s="1"/>
  <c r="N994" i="3"/>
  <c r="P994" i="3" s="1"/>
  <c r="Q994" i="3" s="1"/>
  <c r="M758" i="3"/>
  <c r="N758" i="3" s="1"/>
  <c r="P758" i="3" s="1"/>
  <c r="Q758" i="3" s="1"/>
  <c r="N822" i="3"/>
  <c r="P822" i="3" s="1"/>
  <c r="Q822" i="3" s="1"/>
  <c r="M822" i="3"/>
  <c r="M830" i="3"/>
  <c r="N830" i="3" s="1"/>
  <c r="P830" i="3" s="1"/>
  <c r="Q830" i="3" s="1"/>
  <c r="N838" i="3"/>
  <c r="P838" i="3" s="1"/>
  <c r="Q838" i="3" s="1"/>
  <c r="M990" i="3"/>
  <c r="N990" i="3" s="1"/>
  <c r="P990" i="3" s="1"/>
  <c r="Q990" i="3" s="1"/>
  <c r="N517" i="3"/>
  <c r="P517" i="3" s="1"/>
  <c r="Q517" i="3" s="1"/>
  <c r="N633" i="3"/>
  <c r="P633" i="3" s="1"/>
  <c r="Q633" i="3" s="1"/>
  <c r="M639" i="3"/>
  <c r="N639" i="3" s="1"/>
  <c r="P639" i="3" s="1"/>
  <c r="Q639" i="3" s="1"/>
  <c r="N661" i="3"/>
  <c r="P661" i="3" s="1"/>
  <c r="Q661" i="3" s="1"/>
  <c r="N676" i="3"/>
  <c r="P676" i="3" s="1"/>
  <c r="Q676" i="3" s="1"/>
  <c r="N687" i="3"/>
  <c r="P687" i="3" s="1"/>
  <c r="Q687" i="3" s="1"/>
  <c r="M701" i="3"/>
  <c r="N701" i="3" s="1"/>
  <c r="P701" i="3" s="1"/>
  <c r="Q701" i="3" s="1"/>
  <c r="N739" i="3"/>
  <c r="P739" i="3" s="1"/>
  <c r="Q739" i="3" s="1"/>
  <c r="M739" i="3"/>
  <c r="M826" i="3"/>
  <c r="M838" i="3"/>
  <c r="M842" i="3"/>
  <c r="N842" i="3"/>
  <c r="P842" i="3" s="1"/>
  <c r="Q842" i="3" s="1"/>
  <c r="M886" i="3"/>
  <c r="N886" i="3" s="1"/>
  <c r="P886" i="3" s="1"/>
  <c r="Q886" i="3" s="1"/>
  <c r="M894" i="3"/>
  <c r="N894" i="3" s="1"/>
  <c r="P894" i="3" s="1"/>
  <c r="Q894" i="3" s="1"/>
  <c r="M902" i="3"/>
  <c r="N902" i="3" s="1"/>
  <c r="P902" i="3" s="1"/>
  <c r="Q902" i="3" s="1"/>
  <c r="M910" i="3"/>
  <c r="N910" i="3" s="1"/>
  <c r="P910" i="3" s="1"/>
  <c r="Q910" i="3" s="1"/>
  <c r="M926" i="3"/>
  <c r="N926" i="3" s="1"/>
  <c r="P926" i="3" s="1"/>
  <c r="Q926" i="3" s="1"/>
  <c r="M957" i="3"/>
  <c r="N957" i="3" s="1"/>
  <c r="P957" i="3" s="1"/>
  <c r="Q957" i="3" s="1"/>
  <c r="N971" i="3"/>
  <c r="P971" i="3" s="1"/>
  <c r="Q971" i="3" s="1"/>
  <c r="M979" i="3"/>
  <c r="M517" i="3"/>
  <c r="M661" i="3"/>
  <c r="M687" i="3"/>
  <c r="N724" i="3"/>
  <c r="P724" i="3" s="1"/>
  <c r="Q724" i="3" s="1"/>
  <c r="N754" i="3"/>
  <c r="P754" i="3" s="1"/>
  <c r="Q754" i="3" s="1"/>
  <c r="N774" i="3"/>
  <c r="P774" i="3" s="1"/>
  <c r="Q774" i="3" s="1"/>
  <c r="N781" i="3"/>
  <c r="P781" i="3" s="1"/>
  <c r="Q781" i="3" s="1"/>
  <c r="N789" i="3"/>
  <c r="P789" i="3" s="1"/>
  <c r="Q789" i="3" s="1"/>
  <c r="N879" i="3"/>
  <c r="P879" i="3" s="1"/>
  <c r="Q879" i="3" s="1"/>
  <c r="M918" i="3"/>
  <c r="N918" i="3" s="1"/>
  <c r="P918" i="3" s="1"/>
  <c r="Q918" i="3" s="1"/>
  <c r="P922" i="3"/>
  <c r="Q922" i="3" s="1"/>
  <c r="N942" i="3"/>
  <c r="P942" i="3" s="1"/>
  <c r="Q942" i="3" s="1"/>
  <c r="N950" i="3"/>
  <c r="P950" i="3" s="1"/>
  <c r="Q950" i="3" s="1"/>
  <c r="N790" i="3"/>
  <c r="P790" i="3" s="1"/>
  <c r="Q790" i="3" s="1"/>
  <c r="N818" i="3"/>
  <c r="P818" i="3" s="1"/>
  <c r="Q818" i="3" s="1"/>
  <c r="N970" i="3"/>
  <c r="P970" i="3" s="1"/>
  <c r="Q970" i="3" s="1"/>
  <c r="N998" i="3"/>
  <c r="P998" i="3" s="1"/>
  <c r="Q998" i="3" s="1"/>
  <c r="N726" i="3"/>
  <c r="P726" i="3" s="1"/>
  <c r="Q726" i="3" s="1"/>
  <c r="M733" i="3"/>
  <c r="N733" i="3" s="1"/>
  <c r="P733" i="3" s="1"/>
  <c r="Q733" i="3" s="1"/>
  <c r="M797" i="3"/>
  <c r="N797" i="3" s="1"/>
  <c r="P797" i="3" s="1"/>
  <c r="Q797" i="3" s="1"/>
  <c r="N890" i="3"/>
  <c r="P890" i="3" s="1"/>
  <c r="Q890" i="3" s="1"/>
  <c r="M963" i="3"/>
  <c r="N963" i="3"/>
  <c r="P963" i="3" s="1"/>
  <c r="Q963" i="3" s="1"/>
  <c r="N647" i="3"/>
  <c r="P647" i="3" s="1"/>
  <c r="Q647" i="3" s="1"/>
  <c r="N693" i="3"/>
  <c r="P693" i="3" s="1"/>
  <c r="Q693" i="3" s="1"/>
  <c r="N716" i="3"/>
  <c r="P716" i="3" s="1"/>
  <c r="Q716" i="3" s="1"/>
  <c r="N836" i="3"/>
  <c r="P836" i="3" s="1"/>
  <c r="Q836" i="3" s="1"/>
  <c r="P929" i="3"/>
  <c r="Q929" i="3" s="1"/>
  <c r="N999" i="3"/>
  <c r="P999" i="3" s="1"/>
  <c r="Q999" i="3" s="1"/>
  <c r="M999" i="3"/>
  <c r="N866" i="3"/>
  <c r="P866" i="3" s="1"/>
  <c r="Q866" i="3" s="1"/>
  <c r="N876" i="3"/>
  <c r="P876" i="3" s="1"/>
  <c r="Q876" i="3" s="1"/>
  <c r="N989" i="3"/>
  <c r="P989" i="3" s="1"/>
  <c r="Q989" i="3" s="1"/>
  <c r="N694" i="3"/>
  <c r="P694" i="3" s="1"/>
  <c r="Q694" i="3" s="1"/>
  <c r="N750" i="3"/>
  <c r="P750" i="3" s="1"/>
  <c r="Q750" i="3" s="1"/>
  <c r="N766" i="3"/>
  <c r="P766" i="3" s="1"/>
  <c r="Q766" i="3" s="1"/>
  <c r="N805" i="3"/>
  <c r="P805" i="3" s="1"/>
  <c r="Q805" i="3" s="1"/>
  <c r="N854" i="3"/>
  <c r="P854" i="3" s="1"/>
  <c r="Q854" i="3" s="1"/>
  <c r="M870" i="3"/>
  <c r="N870" i="3" s="1"/>
  <c r="P870" i="3" s="1"/>
  <c r="Q870" i="3" s="1"/>
  <c r="N951" i="3"/>
  <c r="P951" i="3" s="1"/>
  <c r="Q951" i="3" s="1"/>
  <c r="N709" i="3"/>
  <c r="P709" i="3" s="1"/>
  <c r="Q709" i="3" s="1"/>
  <c r="N821" i="3"/>
  <c r="P821" i="3" s="1"/>
  <c r="Q821" i="3" s="1"/>
  <c r="N981" i="3"/>
  <c r="P981" i="3" s="1"/>
  <c r="Q981" i="3" s="1"/>
  <c r="N734" i="3"/>
  <c r="P734" i="3" s="1"/>
  <c r="Q734" i="3" s="1"/>
  <c r="N846" i="3"/>
  <c r="P846" i="3" s="1"/>
  <c r="Q846" i="3" s="1"/>
  <c r="N861" i="3"/>
  <c r="P861" i="3" s="1"/>
  <c r="Q861" i="3" s="1"/>
  <c r="P526" i="3" l="1"/>
  <c r="B5" i="2"/>
  <c r="P35" i="3"/>
  <c r="Q35" i="3" s="1"/>
  <c r="H14" i="2"/>
  <c r="P3" i="3"/>
  <c r="B13" i="2"/>
  <c r="H18" i="2"/>
  <c r="B24" i="2"/>
  <c r="H4" i="2"/>
  <c r="B4" i="2"/>
  <c r="F9" i="1"/>
  <c r="H33" i="2"/>
  <c r="P11" i="3"/>
  <c r="Q11" i="3" s="1"/>
  <c r="H24" i="2"/>
  <c r="B12" i="2"/>
  <c r="B22" i="2"/>
  <c r="P59" i="3"/>
  <c r="Q59" i="3" s="1"/>
  <c r="H16" i="2"/>
  <c r="P21" i="3"/>
  <c r="Q21" i="3" s="1"/>
  <c r="H17" i="2"/>
  <c r="P107" i="3"/>
  <c r="Q107" i="3" s="1"/>
  <c r="H23" i="2"/>
  <c r="P13" i="3"/>
  <c r="Q13" i="3" s="1"/>
  <c r="H13" i="2"/>
  <c r="P19" i="3"/>
  <c r="Q19" i="3" s="1"/>
  <c r="H19" i="2"/>
  <c r="H6" i="2"/>
  <c r="H35" i="2"/>
  <c r="H21" i="2"/>
  <c r="H7" i="2"/>
  <c r="P10" i="3"/>
  <c r="H5" i="2"/>
  <c r="Q4" i="3"/>
  <c r="H20" i="2"/>
  <c r="Q2" i="3"/>
  <c r="D15" i="2"/>
  <c r="J4" i="2"/>
  <c r="Q6" i="3"/>
  <c r="P7" i="3"/>
  <c r="Q7" i="3" s="1"/>
  <c r="H34" i="2"/>
  <c r="B15" i="2"/>
  <c r="Q8" i="3"/>
  <c r="D12" i="2"/>
  <c r="H15" i="2"/>
  <c r="P26" i="3"/>
  <c r="Q26" i="3" s="1"/>
  <c r="B14" i="2"/>
  <c r="H22" i="2"/>
  <c r="B23" i="2"/>
  <c r="B25" i="2"/>
  <c r="Q10" i="3" l="1"/>
  <c r="J7" i="2"/>
  <c r="J9" i="1"/>
  <c r="M9" i="1" s="1"/>
  <c r="Q3" i="3"/>
  <c r="D13" i="2"/>
  <c r="D4" i="2"/>
  <c r="J5" i="2"/>
  <c r="D14" i="2"/>
  <c r="J6" i="2"/>
  <c r="Q526" i="3"/>
  <c r="D5" i="2"/>
</calcChain>
</file>

<file path=xl/sharedStrings.xml><?xml version="1.0" encoding="utf-8"?>
<sst xmlns="http://schemas.openxmlformats.org/spreadsheetml/2006/main" count="8122" uniqueCount="1093">
  <si>
    <t>FLIPKART  /  SALES INTELLIGENCE</t>
  </si>
  <si>
    <t>EXECUTIVE OVERVIEW    •    FY 2024–2025    •    1,000 TRANSACTIONS</t>
  </si>
  <si>
    <t>REVENUE  /  PROFITABILITY  /  PRODUCT MIX  /  CHANNEL PERFORMANCE</t>
  </si>
  <si>
    <t>GROSS SALES</t>
  </si>
  <si>
    <t>NET SALES</t>
  </si>
  <si>
    <t>TOTAL PROFIT</t>
  </si>
  <si>
    <t>PROFIT MARGIN</t>
  </si>
  <si>
    <t>01  |  YEAR-ON-YEAR SALES</t>
  </si>
  <si>
    <t>02  |  CATEGORY PERFORMANCE</t>
  </si>
  <si>
    <t>03  |  REGIONAL CONTRIBUTION</t>
  </si>
  <si>
    <t>04  |  SALES CHANNELS</t>
  </si>
  <si>
    <t>EXECUTIVE TAKEAWAYS</t>
  </si>
  <si>
    <t>SALES PERFORMANCE | SOURCE-BASED SUMMARIES</t>
  </si>
  <si>
    <t>Year</t>
  </si>
  <si>
    <t>Net Sales</t>
  </si>
  <si>
    <t>Gross Sales</t>
  </si>
  <si>
    <t>Profit</t>
  </si>
  <si>
    <t>Units Sold</t>
  </si>
  <si>
    <t>Category</t>
  </si>
  <si>
    <t>2024</t>
  </si>
  <si>
    <t>Clothing</t>
  </si>
  <si>
    <t>2025</t>
  </si>
  <si>
    <t>Food</t>
  </si>
  <si>
    <t>Electronics</t>
  </si>
  <si>
    <t>Furniture</t>
  </si>
  <si>
    <t>Region</t>
  </si>
  <si>
    <t>East</t>
  </si>
  <si>
    <t>Product</t>
  </si>
  <si>
    <t>North</t>
  </si>
  <si>
    <t>Chair</t>
  </si>
  <si>
    <t>South</t>
  </si>
  <si>
    <t>Shirt</t>
  </si>
  <si>
    <t>West</t>
  </si>
  <si>
    <t>Beverage</t>
  </si>
  <si>
    <t>Jeans</t>
  </si>
  <si>
    <t>Cereal</t>
  </si>
  <si>
    <t>Jacket</t>
  </si>
  <si>
    <t>Phone</t>
  </si>
  <si>
    <t>Laptop</t>
  </si>
  <si>
    <t>Payment Method</t>
  </si>
  <si>
    <t>Cabinet</t>
  </si>
  <si>
    <t>Credit Card</t>
  </si>
  <si>
    <t>Snacks</t>
  </si>
  <si>
    <t>PayPal</t>
  </si>
  <si>
    <t>Tablet</t>
  </si>
  <si>
    <t>Cash</t>
  </si>
  <si>
    <t>Desk</t>
  </si>
  <si>
    <t>Debit Card</t>
  </si>
  <si>
    <t>Sales Channel</t>
  </si>
  <si>
    <t>Online</t>
  </si>
  <si>
    <t>In-Store</t>
  </si>
  <si>
    <t>Mobile App</t>
  </si>
  <si>
    <t>SOURCE: Original uploaded FLIPKART PROJECT workbook, Innovative_Sales_Data worksheet.</t>
  </si>
  <si>
    <t>Figures are based on all 1,000 original records; dashboard KPIs link to Sales Data.</t>
  </si>
  <si>
    <t>The original workbook with PivotTables and original dashboard remains unchanged.</t>
  </si>
  <si>
    <t>Order_ID</t>
  </si>
  <si>
    <t>Date</t>
  </si>
  <si>
    <t>Customer Segment</t>
  </si>
  <si>
    <t>Unit Price</t>
  </si>
  <si>
    <t>Unit Cost</t>
  </si>
  <si>
    <t>Discount%</t>
  </si>
  <si>
    <t>Discount Amt</t>
  </si>
  <si>
    <t>Total Cost</t>
  </si>
  <si>
    <t>Profit Margin %</t>
  </si>
  <si>
    <t>Sales_Channel</t>
  </si>
  <si>
    <t>Payment_Method</t>
  </si>
  <si>
    <t>Ratings</t>
  </si>
  <si>
    <t>ORD00001</t>
  </si>
  <si>
    <t>Consumer</t>
  </si>
  <si>
    <t>ORD00002</t>
  </si>
  <si>
    <t>Corporate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</si>
  <si>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</si>
  <si>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</si>
  <si>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</si>
  <si>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</si>
  <si>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</si>
  <si>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</si>
  <si>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</si>
  <si>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</si>
  <si>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</si>
  <si>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</si>
  <si>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</si>
  <si>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</si>
  <si>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</si>
  <si>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</si>
  <si>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</si>
  <si>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Home Office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</si>
  <si>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</si>
  <si>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</si>
  <si>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</si>
  <si>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</si>
  <si>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</si>
  <si>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</si>
  <si>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</si>
  <si>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</si>
  <si>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</si>
  <si>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</si>
  <si>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</si>
  <si>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</si>
  <si>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</si>
  <si>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</si>
  <si>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</si>
  <si>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</si>
  <si>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</si>
  <si>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</si>
  <si>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</si>
  <si>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</si>
  <si>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</si>
  <si>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</si>
  <si>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</si>
  <si>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</si>
  <si>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</si>
  <si>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</si>
  <si>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</si>
  <si>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</si>
  <si>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</si>
  <si>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</si>
  <si>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</si>
  <si>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</si>
  <si>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</si>
  <si>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</si>
  <si>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</si>
  <si>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</si>
  <si>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</si>
  <si>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</si>
  <si>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</si>
  <si>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</si>
  <si>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</si>
  <si>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</si>
  <si>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</si>
  <si>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</si>
  <si>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</si>
  <si>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</si>
  <si>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</si>
  <si>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</si>
  <si>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</si>
  <si>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</si>
  <si>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</si>
  <si>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</si>
  <si>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</si>
  <si>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</si>
  <si>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</si>
  <si>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</si>
  <si>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</si>
  <si>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</si>
  <si>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</si>
  <si>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</si>
  <si>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</si>
  <si>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</si>
  <si>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</si>
  <si>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</si>
  <si>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</si>
  <si>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</si>
  <si>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</si>
  <si>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</si>
  <si>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</si>
  <si>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</si>
  <si>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</si>
  <si>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</si>
  <si>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</si>
  <si>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</si>
  <si>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</si>
  <si>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</si>
  <si>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</si>
  <si>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</si>
  <si>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</si>
  <si>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</si>
  <si>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</si>
  <si>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</si>
  <si>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</si>
  <si>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</si>
  <si>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</si>
  <si>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</si>
  <si>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</si>
  <si>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</si>
  <si>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</si>
  <si>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</si>
  <si>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</si>
  <si>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</si>
  <si>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</si>
  <si>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</si>
  <si>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</si>
  <si>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</si>
  <si>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</si>
  <si>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</si>
  <si>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</si>
  <si>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</si>
  <si>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</si>
  <si>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</si>
  <si>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</si>
  <si>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</si>
  <si>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</si>
  <si>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</si>
  <si>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</si>
  <si>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</si>
  <si>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</si>
  <si>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</si>
  <si>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</si>
  <si>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</si>
  <si>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</si>
  <si>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</si>
  <si>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</si>
  <si>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</si>
  <si>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</si>
  <si>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</si>
  <si>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</si>
  <si>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</si>
  <si>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</si>
  <si>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</si>
  <si>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</si>
  <si>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</si>
  <si>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</si>
  <si>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</si>
  <si>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</si>
  <si>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</si>
  <si>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</si>
  <si>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</si>
  <si>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</si>
  <si>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</si>
  <si>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</si>
  <si>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</si>
  <si>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</si>
  <si>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</si>
  <si>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</si>
  <si>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</si>
  <si>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</si>
  <si>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</si>
  <si>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</si>
  <si>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</si>
  <si>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</si>
  <si>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</si>
  <si>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</si>
  <si>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</si>
  <si>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</si>
  <si>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</si>
  <si>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</si>
  <si>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</si>
  <si>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</si>
  <si>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</si>
  <si>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</si>
  <si>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</si>
  <si>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</si>
  <si>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</si>
  <si>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</si>
  <si>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</si>
  <si>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</si>
  <si>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</si>
  <si>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</si>
  <si>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</si>
  <si>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</si>
  <si>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</si>
  <si>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</si>
  <si>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</si>
  <si>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</si>
  <si>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</si>
  <si>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</si>
  <si>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</si>
  <si>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</si>
  <si>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</si>
  <si>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</si>
  <si>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</si>
  <si>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</si>
  <si>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</si>
  <si>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</si>
  <si>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</si>
  <si>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</si>
  <si>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</si>
  <si>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</si>
  <si>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</si>
  <si>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</si>
  <si>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</si>
  <si>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</si>
  <si>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</si>
  <si>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</si>
  <si>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</si>
  <si>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</si>
  <si>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</si>
  <si>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</si>
  <si>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</si>
  <si>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</si>
  <si>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</si>
  <si>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</si>
  <si>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</si>
  <si>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</si>
  <si>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</si>
  <si>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</si>
  <si>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</si>
  <si>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</si>
  <si>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</si>
  <si>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</si>
  <si>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</si>
  <si>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</si>
  <si>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</si>
  <si>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</si>
  <si>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</si>
  <si>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</si>
  <si>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</si>
  <si>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</si>
  <si>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</si>
  <si>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</si>
  <si>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</si>
  <si>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</si>
  <si>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</si>
  <si>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</si>
  <si>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</si>
  <si>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</si>
  <si>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</si>
  <si>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</si>
  <si>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</si>
  <si>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</si>
  <si>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</si>
  <si>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</si>
  <si>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</si>
  <si>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</si>
  <si>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</si>
  <si>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</si>
  <si>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</si>
  <si>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</si>
  <si>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</si>
  <si>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</si>
  <si>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</si>
  <si>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</si>
  <si>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</si>
  <si>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</si>
  <si>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</si>
  <si>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</si>
  <si>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</si>
  <si>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</si>
  <si>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</si>
  <si>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</si>
  <si>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</si>
  <si>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</si>
  <si>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</si>
  <si>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</si>
  <si>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</si>
  <si>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</si>
  <si>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</si>
  <si>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</si>
  <si>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</si>
  <si>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</si>
  <si>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</si>
  <si>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</si>
  <si>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</si>
  <si>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</si>
  <si>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</si>
  <si>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</si>
  <si>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</si>
  <si>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</si>
  <si>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</si>
  <si>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</si>
  <si>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</si>
  <si>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</si>
  <si>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</si>
  <si>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</si>
  <si>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</si>
  <si>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</si>
  <si>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</si>
  <si>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</si>
  <si>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</si>
  <si>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</si>
  <si>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</si>
  <si>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</si>
  <si>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</si>
  <si>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</si>
  <si>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</si>
  <si>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</si>
  <si>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</si>
  <si>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</si>
  <si>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</si>
  <si>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</si>
  <si>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</si>
  <si>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</si>
  <si>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</si>
  <si>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</si>
  <si>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</si>
  <si>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</si>
  <si>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</si>
  <si>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</si>
  <si>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</si>
  <si>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</si>
  <si>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</si>
  <si>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</si>
  <si>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</si>
  <si>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</si>
  <si>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</si>
  <si>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</si>
  <si>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</si>
  <si>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</si>
  <si>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</si>
  <si>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</si>
  <si>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</si>
  <si>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</si>
  <si>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</si>
  <si>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</si>
  <si>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</si>
  <si>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</si>
  <si>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</si>
  <si>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</si>
  <si>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</si>
  <si>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</si>
  <si>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</si>
  <si>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</si>
  <si>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</si>
  <si>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</si>
  <si>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</si>
  <si>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</si>
  <si>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</si>
  <si>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</si>
  <si>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</si>
  <si>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</si>
  <si>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</si>
  <si>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</si>
  <si>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</si>
  <si>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</si>
  <si>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</si>
  <si>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</si>
  <si>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</si>
  <si>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</si>
  <si>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</si>
  <si>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</si>
  <si>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</si>
  <si>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</si>
  <si>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</si>
  <si>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</si>
  <si>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</si>
  <si>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</si>
  <si>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</si>
  <si>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</si>
  <si>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</si>
  <si>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</si>
  <si>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</si>
  <si>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</si>
  <si>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</si>
  <si>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</si>
  <si>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</si>
  <si>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</si>
  <si>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</si>
  <si>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</si>
  <si>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</si>
  <si>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</si>
  <si>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</si>
  <si>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</si>
  <si>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</si>
  <si>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</si>
  <si>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</si>
  <si>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</si>
  <si>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</si>
  <si>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</si>
  <si>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</si>
  <si>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</si>
  <si>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</si>
  <si>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</si>
  <si>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</si>
  <si>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</si>
  <si>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</si>
  <si>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</si>
  <si>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</si>
  <si>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</si>
  <si>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</si>
  <si>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</si>
  <si>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</si>
  <si>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</si>
  <si>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</si>
  <si>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</si>
  <si>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</si>
  <si>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</si>
  <si>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</si>
  <si>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</si>
  <si>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</si>
  <si>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</si>
  <si>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</si>
  <si>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</si>
  <si>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</si>
  <si>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</si>
  <si>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</si>
  <si>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</si>
  <si>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</si>
  <si>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</si>
  <si>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</si>
  <si>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</si>
  <si>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</si>
  <si>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</si>
  <si>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</si>
  <si>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</si>
  <si>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</si>
  <si>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</si>
  <si>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</si>
  <si>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</si>
  <si>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</si>
  <si>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</si>
  <si>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</si>
  <si>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</si>
  <si>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</si>
  <si>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</si>
  <si>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</si>
  <si>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</si>
  <si>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</si>
  <si>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</si>
  <si>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</si>
  <si>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</si>
  <si>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</si>
  <si>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</si>
  <si>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</si>
  <si>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</si>
  <si>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</si>
  <si>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</si>
  <si>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</si>
  <si>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</si>
  <si>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</si>
  <si>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</si>
  <si>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</si>
  <si>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</si>
  <si>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</si>
  <si>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</si>
  <si>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</si>
  <si>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</si>
  <si>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</si>
  <si>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</si>
  <si>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</si>
  <si>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</si>
  <si>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</si>
  <si>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</si>
  <si>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</si>
  <si>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</si>
  <si>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</si>
  <si>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</si>
  <si>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</si>
  <si>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</si>
  <si>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</si>
  <si>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</si>
  <si>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</si>
  <si>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</si>
  <si>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</si>
  <si>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</si>
  <si>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</si>
  <si>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</si>
  <si>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</si>
  <si>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</si>
  <si>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</si>
  <si>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</si>
  <si>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</si>
  <si>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</si>
  <si>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</si>
  <si>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</si>
  <si>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</si>
  <si>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</si>
  <si>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</si>
  <si>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</si>
  <si>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</si>
  <si>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</si>
  <si>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</si>
  <si>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</si>
  <si>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</si>
  <si>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</si>
  <si>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</si>
  <si>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</si>
  <si>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</si>
  <si>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</si>
  <si>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</si>
  <si>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</si>
  <si>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</si>
  <si>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</si>
  <si>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</si>
  <si>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</si>
  <si>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</si>
  <si>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</si>
  <si>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</si>
  <si>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</si>
  <si>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</si>
  <si>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</si>
  <si>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</si>
  <si>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</si>
  <si>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</si>
  <si>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</si>
  <si>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</si>
  <si>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</si>
  <si>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</si>
  <si>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</si>
  <si>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</si>
  <si>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</si>
  <si>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</si>
  <si>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</si>
  <si>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</si>
  <si>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</si>
  <si>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</si>
  <si>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</si>
  <si>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</si>
  <si>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</si>
  <si>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</si>
  <si>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</si>
  <si>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</si>
  <si>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</si>
  <si>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</si>
  <si>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</si>
  <si>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</si>
  <si>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</si>
  <si>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</si>
  <si>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</si>
  <si>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</si>
  <si>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</si>
  <si>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</si>
  <si>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</si>
  <si>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</si>
  <si>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</si>
  <si>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</si>
  <si>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</si>
  <si>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</si>
  <si>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</si>
  <si>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</si>
  <si>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</si>
  <si>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</si>
  <si>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</si>
  <si>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</si>
  <si>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</si>
  <si>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</si>
  <si>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</si>
  <si>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</si>
  <si>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</si>
  <si>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</si>
  <si>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</si>
  <si>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</si>
  <si>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</si>
  <si>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</si>
  <si>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</si>
  <si>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</si>
  <si>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</si>
  <si>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</si>
  <si>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</si>
  <si>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</si>
  <si>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</si>
  <si>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</si>
  <si>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</si>
  <si>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</si>
  <si>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</si>
  <si>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</si>
  <si>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</si>
  <si>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</si>
  <si>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</si>
  <si>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</si>
  <si>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</si>
  <si>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</si>
  <si>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</si>
  <si>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</si>
  <si>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</si>
  <si>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</si>
  <si>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</si>
  <si>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</si>
  <si>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</si>
  <si>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</si>
  <si>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</si>
  <si>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</si>
  <si>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</si>
  <si>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</si>
  <si>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</si>
  <si>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</si>
  <si>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</si>
  <si>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</si>
  <si>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</si>
  <si>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</si>
  <si>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</si>
  <si>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</si>
  <si>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</si>
  <si>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</si>
  <si>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</si>
  <si>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</si>
  <si>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</si>
  <si>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</si>
  <si>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</si>
  <si>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</si>
  <si>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</si>
  <si>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</si>
  <si>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</si>
  <si>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</si>
  <si>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</si>
  <si>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</si>
  <si>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</si>
  <si>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</si>
  <si>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</si>
  <si>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</si>
  <si>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</si>
  <si>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</si>
  <si>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</si>
  <si>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</si>
  <si>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</si>
  <si>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</si>
  <si>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</si>
  <si>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</si>
  <si>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</si>
  <si>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</si>
  <si>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</si>
  <si>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</si>
  <si>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</si>
  <si>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</si>
  <si>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</si>
  <si>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</si>
  <si>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</si>
  <si>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</si>
  <si>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</si>
  <si>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</si>
  <si>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</si>
  <si>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</si>
  <si>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</si>
  <si>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</si>
  <si>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</si>
  <si>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</si>
  <si>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</si>
  <si>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</si>
  <si>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</si>
  <si>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</si>
  <si>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</si>
  <si>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</si>
  <si>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</si>
  <si>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</si>
  <si>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</si>
  <si>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</si>
  <si>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</si>
  <si>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</si>
  <si>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</si>
  <si>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</si>
  <si>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</si>
  <si>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</si>
  <si>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</si>
  <si>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</si>
  <si>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</si>
  <si>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</si>
  <si>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</si>
  <si>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</si>
  <si>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</si>
  <si>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</si>
  <si>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</si>
  <si>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</si>
  <si>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</si>
  <si>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</si>
  <si>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</si>
  <si>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</si>
  <si>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</si>
  <si>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</si>
  <si>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</si>
  <si>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</si>
  <si>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</si>
  <si>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</si>
  <si>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</si>
  <si>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</si>
  <si>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</si>
  <si>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</si>
  <si>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</si>
  <si>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</si>
  <si>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</si>
  <si>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</si>
  <si>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</si>
  <si>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</si>
  <si>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</si>
  <si>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</si>
  <si>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</si>
  <si>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</si>
  <si>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</si>
  <si>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</si>
  <si>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</si>
  <si>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</si>
  <si>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</si>
  <si>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</si>
  <si>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</si>
  <si>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</si>
  <si>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</si>
  <si>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</si>
  <si>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</si>
  <si>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</si>
  <si>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</si>
  <si>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</si>
  <si>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</si>
  <si>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</si>
  <si>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</si>
  <si>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</si>
  <si>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</si>
  <si>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</si>
  <si>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</si>
  <si>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</si>
  <si>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</si>
  <si>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</si>
  <si>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</si>
  <si>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</si>
  <si>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</si>
  <si>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</si>
  <si>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</si>
  <si>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</si>
  <si>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</si>
  <si>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</si>
  <si>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</si>
  <si>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</si>
  <si>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</si>
  <si>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</si>
  <si>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</si>
  <si>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</si>
  <si>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</si>
  <si>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</si>
  <si>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</si>
  <si>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</si>
  <si>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</si>
  <si>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</si>
  <si>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</si>
  <si>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</si>
  <si>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</si>
  <si>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</si>
  <si>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</si>
  <si>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</si>
  <si>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</si>
  <si>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</si>
  <si>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</si>
  <si>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</si>
  <si>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</si>
  <si>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</si>
  <si>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</si>
  <si>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</si>
  <si>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</si>
  <si>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</si>
  <si>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</si>
  <si>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</si>
  <si>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</si>
  <si>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</si>
  <si>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</si>
  <si>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</si>
  <si>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</si>
  <si>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</si>
  <si>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</si>
  <si>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</si>
  <si>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</si>
  <si>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</si>
  <si>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</si>
  <si>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</si>
  <si>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</si>
  <si>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</si>
  <si>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</si>
  <si>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</si>
  <si>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</si>
  <si>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</si>
  <si>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</si>
  <si>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</si>
  <si>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</si>
  <si>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</si>
  <si>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</si>
  <si>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</si>
  <si>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</si>
  <si>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</si>
  <si>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</si>
  <si>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</si>
  <si>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</si>
  <si>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</si>
  <si>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</si>
  <si>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</si>
  <si>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</si>
  <si>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</si>
  <si>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</si>
  <si>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</si>
  <si>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</si>
  <si>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</si>
  <si>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</si>
  <si>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</si>
  <si>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</si>
  <si>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</si>
  <si>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</si>
  <si>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</si>
  <si>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</si>
  <si>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</si>
  <si>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</si>
  <si>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</si>
  <si>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</si>
  <si>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</si>
  <si>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</si>
  <si>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</si>
  <si>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</si>
  <si>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</si>
  <si>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</si>
  <si>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</si>
  <si>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</si>
  <si>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</si>
  <si>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</si>
  <si>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</si>
  <si>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</si>
  <si>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</si>
  <si>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</si>
  <si>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</si>
  <si>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</si>
  <si>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</si>
  <si>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</si>
  <si>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</si>
  <si>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</si>
  <si>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</si>
  <si>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</si>
  <si>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</si>
  <si>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</si>
  <si>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</si>
  <si>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</si>
  <si>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</si>
  <si>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</si>
  <si>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</si>
  <si>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</si>
  <si>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</si>
  <si>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</si>
  <si>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</si>
  <si>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</si>
  <si>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</si>
  <si>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</si>
  <si>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</si>
  <si>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</si>
  <si>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</si>
  <si>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</si>
  <si>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</si>
  <si>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</si>
  <si>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</si>
  <si>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</si>
  <si>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</si>
  <si>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</si>
  <si>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</si>
  <si>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</si>
  <si>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</si>
  <si>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</si>
  <si>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</si>
  <si>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</si>
  <si>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</si>
  <si>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</si>
  <si>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</si>
  <si>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</si>
  <si>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</si>
  <si>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</si>
  <si>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</si>
  <si>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</si>
  <si>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</si>
  <si>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</si>
  <si>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</si>
  <si>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</si>
  <si>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</si>
  <si>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</si>
  <si>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</si>
  <si>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</si>
  <si>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</si>
  <si>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</si>
  <si>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</si>
  <si>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</si>
  <si>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</si>
  <si>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</si>
  <si>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</si>
  <si>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</si>
  <si>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</si>
  <si>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</si>
  <si>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</si>
  <si>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</si>
  <si>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</si>
  <si>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</si>
  <si>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</si>
  <si>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</si>
  <si>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</si>
  <si>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</si>
  <si>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</si>
  <si>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</si>
  <si>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</si>
  <si>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</si>
  <si>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</si>
  <si>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</si>
  <si>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</si>
  <si>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</si>
  <si>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</si>
  <si>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</si>
  <si>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</si>
  <si>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</si>
  <si>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</si>
  <si>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</si>
  <si>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</si>
  <si>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</si>
  <si>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</si>
  <si>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</si>
  <si>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</si>
  <si>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</si>
  <si>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</si>
  <si>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</si>
  <si>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</si>
  <si>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</si>
  <si>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</si>
  <si>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</si>
  <si>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</si>
  <si>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</si>
  <si>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</si>
  <si>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</si>
  <si>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</si>
  <si>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</si>
  <si>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</si>
  <si>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</si>
  <si>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</si>
  <si>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</si>
  <si>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</si>
  <si>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</si>
  <si>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</si>
  <si>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</si>
  <si>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</si>
  <si>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</si>
  <si>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</si>
  <si>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</si>
  <si>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</si>
  <si>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</si>
  <si>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</si>
  <si>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</si>
  <si>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</si>
  <si>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</si>
  <si>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</si>
  <si>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</si>
  <si>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</si>
  <si>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</si>
  <si>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</si>
  <si>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</si>
  <si>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</si>
  <si>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</si>
  <si>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</si>
  <si>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</si>
  <si>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</si>
  <si>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</si>
  <si>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</si>
  <si>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</si>
  <si>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</si>
  <si>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</si>
  <si>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</si>
  <si>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</si>
  <si>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</si>
  <si>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</si>
  <si>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</si>
  <si>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</si>
  <si>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</si>
  <si>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</si>
  <si>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</si>
  <si>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</si>
  <si>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</si>
  <si>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</si>
  <si>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</si>
  <si>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</si>
  <si>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</si>
  <si>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</si>
  <si>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</si>
  <si>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</si>
  <si>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</si>
  <si>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</si>
  <si>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</si>
  <si>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</si>
  <si>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</si>
  <si>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</si>
  <si>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</si>
  <si>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</si>
  <si>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</si>
  <si>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</si>
  <si>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</si>
  <si>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</si>
  <si>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</si>
  <si>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</si>
  <si>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</si>
  <si>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</si>
  <si>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</si>
  <si>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</si>
  <si>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</si>
  <si>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</si>
  <si>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</si>
  <si>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</si>
  <si>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</si>
  <si>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</si>
  <si>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</si>
  <si>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</si>
  <si>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</si>
  <si>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</si>
  <si>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</si>
  <si>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</si>
  <si>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</si>
  <si>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</si>
  <si>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</si>
  <si>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</si>
  <si>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FLIPKART | FORMULA REFERENCE</t>
  </si>
  <si>
    <t>How to edit</t>
  </si>
  <si>
    <t>Edit Units Sold, Unit Price, Unit Cost or Discount% in Sales Data.</t>
  </si>
  <si>
    <t>What updates</t>
  </si>
  <si>
    <t>Sales Data calculated columns, Analysis tables and dashboard KPIs.</t>
  </si>
  <si>
    <t>Metric</t>
  </si>
  <si>
    <t>Formula pattern</t>
  </si>
  <si>
    <t>Source</t>
  </si>
  <si>
    <t>Sales Data!K</t>
  </si>
  <si>
    <t>Discount Amount</t>
  </si>
  <si>
    <t>Sales Data!M</t>
  </si>
  <si>
    <t>Sales Data!N</t>
  </si>
  <si>
    <t>Sales Data!O</t>
  </si>
  <si>
    <t>Sales Data!P</t>
  </si>
  <si>
    <t>Profit Margin</t>
  </si>
  <si>
    <t>Executive Dashboard!M9</t>
  </si>
  <si>
    <t>Yearly Sales</t>
  </si>
  <si>
    <t>Analysis!B4:B5</t>
  </si>
  <si>
    <t>Product Revenue</t>
  </si>
  <si>
    <t>Analysis!H13:H24</t>
  </si>
  <si>
    <t>NOTE</t>
  </si>
  <si>
    <t>Avoid changing formula cells in Sales Data columns K, M, N, O, P, Q.</t>
  </si>
  <si>
    <t>2025 net sales declined by 6.5% compared with 2024. Clothing leads category revenue at ₹4.83M, while East is the highest-performing region at ₹4.52M. Online is the strongest sales channel at ₹8.83M, highlighting the importance of digital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</si>
</sst>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&quot;₹&quot;#,##0,,&quot;M&quot;"/>
    <numFmt numFmtId="166" formatCode="0.0%\ "/>
  </numFmts>
  <fonts count="9">
    <font>
      <sz val="11"/>
      <name val="Carlito"/>
    </font>
    <font>
      <b/>
      <sz val="11"/>
      <color rgb="FFFFFFFF"/>
      <name val="Carlito"/>
    </font>
    <font>
      <b/>
      <sz val="22"/>
      <color rgb="FFFFFFFF"/>
      <name val="Carlito"/>
    </font>
    <font>
      <sz val="10"/>
      <color rgb="FFA9CADB"/>
      <name val="Carlito"/>
    </font>
    <font>
      <b/>
      <sz val="10"/>
      <color rgb="FFD8E8F2"/>
      <name val="Carlito"/>
    </font>
    <font>
      <b/>
      <sz val="10"/>
      <color rgb="FFC3D8E9"/>
      <name val="Carlito"/>
    </font>
    <font>
      <b/>
      <sz val="18"/>
      <color rgb="FF10213B"/>
      <name val="Carlito"/>
    </font>
    <font>
      <sz val="11"/>
      <color rgb="FF10213B"/>
      <name val="Carlito"/>
    </font>
    <font>
      <b/>
      <sz val="15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1233F"/>
      </patternFill>
    </fill>
    <fill>
      <patternFill patternType="solid">
        <fgColor rgb="FF177F93"/>
      </patternFill>
    </fill>
    <fill>
      <patternFill patternType="solid">
        <fgColor rgb="FFF2F6FA"/>
      </patternFill>
    </fill>
    <fill>
      <patternFill patternType="solid">
        <fgColor rgb="FF10213B"/>
      </patternFill>
    </fill>
    <fill>
      <patternFill patternType="solid">
        <fgColor rgb="FF162C4B"/>
      </patternFill>
    </fill>
    <fill>
      <patternFill patternType="solid">
        <fgColor rgb="FFFFFFFF"/>
      </patternFill>
    </fill>
    <fill>
      <patternFill patternType="solid">
        <fgColor rgb="FF12233F"/>
      </patternFill>
    </fill>
    <fill>
      <patternFill patternType="solid">
        <fgColor rgb="FF127C88"/>
      </patternFill>
    </fill>
    <fill>
      <patternFill patternType="solid">
        <fgColor rgb="FFEA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164" fontId="0" fillId="0" borderId="0" xfId="0" applyNumberFormat="1"/>
    <xf numFmtId="0" fontId="1" fillId="3" borderId="0" xfId="0" applyFont="1" applyFill="1"/>
    <xf numFmtId="0" fontId="0" fillId="4" borderId="0" xfId="0" applyFill="1"/>
    <xf numFmtId="0" fontId="8" fillId="8" borderId="0" xfId="0" applyFont="1" applyFill="1"/>
    <xf numFmtId="0" fontId="1" fillId="9" borderId="0" xfId="0" applyFont="1" applyFill="1"/>
    <xf numFmtId="0" fontId="0" fillId="10" borderId="0" xfId="0" applyFill="1"/>
    <xf numFmtId="0" fontId="2" fillId="5" borderId="0" xfId="0" applyFont="1" applyFill="1" applyAlignment="1">
      <alignment vertical="center"/>
    </xf>
    <xf numFmtId="0" fontId="3" fillId="5" borderId="0" xfId="0" applyFont="1" applyFill="1"/>
    <xf numFmtId="0" fontId="4" fillId="6" borderId="0" xfId="0" applyFont="1" applyFill="1"/>
    <xf numFmtId="0" fontId="5" fillId="6" borderId="0" xfId="0" applyFont="1" applyFill="1" applyAlignment="1">
      <alignment horizontal="center"/>
    </xf>
    <xf numFmtId="165" fontId="6" fillId="7" borderId="0" xfId="0" applyNumberFormat="1" applyFont="1" applyFill="1" applyAlignment="1">
      <alignment horizontal="center" vertical="center"/>
    </xf>
    <xf numFmtId="166" fontId="6" fillId="7" borderId="0" xfId="0" applyNumberFormat="1" applyFont="1" applyFill="1" applyAlignment="1">
      <alignment horizontal="center" vertical="center"/>
    </xf>
    <xf numFmtId="0" fontId="1" fillId="6" borderId="0" xfId="0" applyFont="1" applyFill="1"/>
    <xf numFmtId="0" fontId="7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156082"/>
            </a:solidFill>
          </c:spPr>
          <c:invertIfNegative val="0"/>
          <c:dLbls>
            <c:numFmt formatCode="&quot;₹&quot;0.00&quot;M&quot;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Analysis!$A$4:$A$5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Analysis!$B$4:$B$5</c:f>
              <c:numCache>
                <c:formatCode>General</c:formatCode>
                <c:ptCount val="2"/>
                <c:pt idx="0">
                  <c:v>8918201.8420000002</c:v>
                </c:pt>
                <c:pt idx="1">
                  <c:v>8336341.6169999996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2E-48B3-A63B-5119B1652E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7906065064656092E-2"/>
                <c:y val="0.3554401077023851"/>
              </c:manualLayout>
            </c:layout>
          </c:dispUnitsLbl>
        </c:dispUnits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156082"/>
            </a:solidFill>
          </c:spPr>
          <c:invertIfNegative val="1"/>
          <c:dLbls>
            <c:numFmt formatCode="&quot;₹&quot;0.00&quot;M&quot;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Analysis!$G$4:$G$7</c:f>
              <c:strCache>
                <c:ptCount val="4"/>
                <c:pt idx="0">
                  <c:v>Clothing</c:v>
                </c:pt>
                <c:pt idx="1">
                  <c:v>Food</c:v>
                </c:pt>
                <c:pt idx="2">
                  <c:v>Electronics</c:v>
                </c:pt>
                <c:pt idx="3">
                  <c:v>Furniture</c:v>
                </c:pt>
              </c:strCache>
            </c:strRef>
          </c:cat>
          <c:val>
            <c:numRef>
              <c:f>Analysis!$H$4:$H$7</c:f>
              <c:numCache>
                <c:formatCode>General</c:formatCode>
                <c:ptCount val="4"/>
                <c:pt idx="0">
                  <c:v>4826702.3034999985</c:v>
                </c:pt>
                <c:pt idx="1">
                  <c:v>4502965.5000000019</c:v>
                </c:pt>
                <c:pt idx="2">
                  <c:v>4029938.9314999981</c:v>
                </c:pt>
                <c:pt idx="3">
                  <c:v>3894936.7239999999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B4C-4BE8-B8AD-994252D5EB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84440132331543871"/>
                <c:y val="0.7971186816496153"/>
              </c:manualLayout>
            </c:layout>
          </c:dispUnitsLbl>
        </c:dispUnits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Net Sales</c:v>
          </c:tx>
          <c:invertIfNegative val="0"/>
          <c:dLbls>
            <c:numFmt formatCode="&quot;₹&quot;0.00&quot;M&quot;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Analysis!$A$12:$A$15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Analysis!$B$12:$B$15</c:f>
              <c:numCache>
                <c:formatCode>General</c:formatCode>
                <c:ptCount val="4"/>
                <c:pt idx="0">
                  <c:v>4521974.2729999982</c:v>
                </c:pt>
                <c:pt idx="1">
                  <c:v>4438747.8025000002</c:v>
                </c:pt>
                <c:pt idx="2">
                  <c:v>4317442.8424999993</c:v>
                </c:pt>
                <c:pt idx="3">
                  <c:v>3976378.5409999993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E-4574-A9D1-D5FBA2C2EF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  <c:dispUnits>
          <c:builtInUnit val="millions"/>
          <c:dispUnitsLbl/>
        </c:dispUnits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Net Sales</c:v>
          </c:tx>
          <c:invertIfNegative val="0"/>
          <c:dLbls>
            <c:numFmt formatCode="&quot;₹&quot;0.00&quot;M&quot;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Analysis!$G$33:$G$35</c:f>
              <c:strCache>
                <c:ptCount val="3"/>
                <c:pt idx="0">
                  <c:v>Online</c:v>
                </c:pt>
                <c:pt idx="1">
                  <c:v>In-Store</c:v>
                </c:pt>
                <c:pt idx="2">
                  <c:v>Mobile App</c:v>
                </c:pt>
              </c:strCache>
            </c:strRef>
          </c:cat>
          <c:val>
            <c:numRef>
              <c:f>Analysis!$H$33:$H$35</c:f>
              <c:numCache>
                <c:formatCode>General</c:formatCode>
                <c:ptCount val="3"/>
                <c:pt idx="0">
                  <c:v>8831861.1799999978</c:v>
                </c:pt>
                <c:pt idx="1">
                  <c:v>5641105.9710000008</c:v>
                </c:pt>
                <c:pt idx="2">
                  <c:v>2781576.3079999997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C-4322-AC99-EA6007B78F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  <c:dispUnits>
          <c:builtInUnit val="millions"/>
          <c:dispUnitsLbl/>
        </c:dispUnits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showGridLines="0" tabSelected="1" topLeftCell="A9" zoomScale="71" zoomScaleNormal="71" workbookViewId="0">
      <selection activeCell="Z17" sqref="Z17"/>
    </sheetView>
  </sheetViews>
  <sheetFormatPr defaultRowHeight="13.8"/>
  <cols>
    <col min="1" max="1" width="3" customWidth="1"/>
    <col min="2" max="15" width="12" customWidth="1"/>
    <col min="16" max="16" width="3" customWidth="1"/>
  </cols>
  <sheetData>
    <row r="1" spans="1:16" ht="18.4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9.95" customHeight="1">
      <c r="A2" s="5"/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5"/>
    </row>
    <row r="3" spans="1:16" ht="19.95" customHeight="1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5"/>
    </row>
    <row r="4" spans="1:16" ht="20.85" customHeight="1">
      <c r="A4" s="5"/>
      <c r="B4" s="10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5"/>
    </row>
    <row r="5" spans="1:16" ht="18.4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21.6" customHeight="1">
      <c r="A6" s="5"/>
      <c r="B6" s="11" t="s">
        <v>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5"/>
    </row>
    <row r="7" spans="1:16" ht="18.4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9.2" customHeight="1">
      <c r="A8" s="5"/>
      <c r="B8" s="12" t="s">
        <v>3</v>
      </c>
      <c r="C8" s="12" t="s">
        <v>3</v>
      </c>
      <c r="D8" s="12" t="s">
        <v>3</v>
      </c>
      <c r="E8" s="5"/>
      <c r="F8" s="12" t="s">
        <v>4</v>
      </c>
      <c r="G8" s="12" t="s">
        <v>4</v>
      </c>
      <c r="H8" s="12" t="s">
        <v>4</v>
      </c>
      <c r="I8" s="5"/>
      <c r="J8" s="12" t="s">
        <v>5</v>
      </c>
      <c r="K8" s="12" t="s">
        <v>5</v>
      </c>
      <c r="L8" s="12" t="s">
        <v>5</v>
      </c>
      <c r="M8" s="12" t="s">
        <v>6</v>
      </c>
      <c r="N8" s="12" t="s">
        <v>6</v>
      </c>
      <c r="O8" s="12" t="s">
        <v>6</v>
      </c>
      <c r="P8" s="5"/>
    </row>
    <row r="9" spans="1:16" ht="19.95" customHeight="1">
      <c r="A9" s="5"/>
      <c r="B9" s="13">
        <f>SUM('Sales Data'!K2:K1001)</f>
        <v>18694940.329999994</v>
      </c>
      <c r="C9" s="13"/>
      <c r="D9" s="13"/>
      <c r="E9" s="5"/>
      <c r="F9" s="13">
        <f>SUM('Sales Data'!N2:N1001)</f>
        <v>17254543.459000025</v>
      </c>
      <c r="G9" s="13"/>
      <c r="H9" s="13"/>
      <c r="I9" s="5"/>
      <c r="J9" s="13">
        <f>SUM('Sales Data'!P2:P1001)</f>
        <v>5374171.2090000026</v>
      </c>
      <c r="K9" s="13"/>
      <c r="L9" s="13"/>
      <c r="M9" s="14">
        <f>IFERROR(J9/F9,0)</f>
        <v>0.31146412084272318</v>
      </c>
      <c r="N9" s="14"/>
      <c r="O9" s="14"/>
      <c r="P9" s="5"/>
    </row>
    <row r="10" spans="1:16" ht="19.95" customHeight="1">
      <c r="A10" s="5"/>
      <c r="B10" s="13"/>
      <c r="C10" s="13"/>
      <c r="D10" s="13"/>
      <c r="E10" s="5"/>
      <c r="F10" s="13"/>
      <c r="G10" s="13"/>
      <c r="H10" s="13"/>
      <c r="I10" s="5"/>
      <c r="J10" s="13"/>
      <c r="K10" s="13"/>
      <c r="L10" s="13"/>
      <c r="M10" s="14"/>
      <c r="N10" s="14"/>
      <c r="O10" s="14"/>
      <c r="P10" s="5"/>
    </row>
    <row r="11" spans="1:16" ht="19.95" customHeight="1">
      <c r="A11" s="5"/>
      <c r="B11" s="13"/>
      <c r="C11" s="13"/>
      <c r="D11" s="13"/>
      <c r="E11" s="5"/>
      <c r="F11" s="13"/>
      <c r="G11" s="13"/>
      <c r="H11" s="13"/>
      <c r="I11" s="5"/>
      <c r="J11" s="13"/>
      <c r="K11" s="13"/>
      <c r="L11" s="13"/>
      <c r="M11" s="14"/>
      <c r="N11" s="14"/>
      <c r="O11" s="14"/>
      <c r="P11" s="5"/>
    </row>
    <row r="12" spans="1:16" ht="18.4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8.4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21.6" customHeight="1">
      <c r="A14" s="5"/>
      <c r="B14" s="15" t="s">
        <v>7</v>
      </c>
      <c r="C14" s="15"/>
      <c r="D14" s="15"/>
      <c r="E14" s="15"/>
      <c r="F14" s="15"/>
      <c r="G14" s="15"/>
      <c r="H14" s="15"/>
      <c r="I14" s="5"/>
      <c r="J14" s="15" t="s">
        <v>8</v>
      </c>
      <c r="K14" s="15"/>
      <c r="L14" s="15"/>
      <c r="M14" s="15"/>
      <c r="N14" s="15"/>
      <c r="O14" s="15"/>
      <c r="P14" s="5"/>
    </row>
    <row r="15" spans="1:16" ht="18.4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8.4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8.4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8.4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8.4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8.4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8.4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8.4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8.4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8.4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18.4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18.4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18.4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8.4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8.4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21.6" customHeight="1">
      <c r="A30" s="5"/>
      <c r="B30" s="15" t="s">
        <v>9</v>
      </c>
      <c r="C30" s="15"/>
      <c r="D30" s="15"/>
      <c r="E30" s="15"/>
      <c r="F30" s="15"/>
      <c r="G30" s="15"/>
      <c r="H30" s="15"/>
      <c r="I30" s="5"/>
      <c r="J30" s="15" t="s">
        <v>10</v>
      </c>
      <c r="K30" s="15"/>
      <c r="L30" s="15"/>
      <c r="M30" s="15"/>
      <c r="N30" s="15"/>
      <c r="O30" s="15"/>
      <c r="P30" s="5"/>
    </row>
    <row r="31" spans="1:16" ht="18.4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18.4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18.4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18.4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18.4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8.4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8.4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18.4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18.4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8.4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18.4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8.4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8.4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8.4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21.6" customHeight="1">
      <c r="A45" s="5"/>
      <c r="B45" s="15" t="s">
        <v>11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5"/>
    </row>
    <row r="46" spans="1:16" ht="19.2" customHeight="1">
      <c r="A46" s="5"/>
      <c r="B46" s="16" t="s">
        <v>1092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5"/>
    </row>
    <row r="47" spans="1:16" ht="19.2" customHeight="1">
      <c r="A47" s="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5"/>
    </row>
    <row r="48" spans="1:16" ht="19.2" customHeight="1">
      <c r="A48" s="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5"/>
    </row>
  </sheetData>
  <mergeCells count="17">
    <mergeCell ref="B46:O48"/>
    <mergeCell ref="B14:H14"/>
    <mergeCell ref="J14:O14"/>
    <mergeCell ref="B30:H30"/>
    <mergeCell ref="J30:O30"/>
    <mergeCell ref="B45:O45"/>
    <mergeCell ref="B2:O3"/>
    <mergeCell ref="B4:O4"/>
    <mergeCell ref="B6:O6"/>
    <mergeCell ref="B8:D8"/>
    <mergeCell ref="B9:D11"/>
    <mergeCell ref="F8:H8"/>
    <mergeCell ref="F9:H11"/>
    <mergeCell ref="J8:L8"/>
    <mergeCell ref="J9:L11"/>
    <mergeCell ref="M8:O8"/>
    <mergeCell ref="M9:O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workbookViewId="0">
      <selection activeCell="C13" sqref="C13"/>
    </sheetView>
  </sheetViews>
  <sheetFormatPr defaultRowHeight="13.8"/>
  <cols>
    <col min="1" max="1" width="18" customWidth="1"/>
    <col min="2" max="6" width="17" customWidth="1"/>
    <col min="7" max="7" width="22" customWidth="1"/>
    <col min="8" max="12" width="17" customWidth="1"/>
  </cols>
  <sheetData>
    <row r="1" spans="1:12" ht="24" customHeight="1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ht="19.95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G3" s="4" t="s">
        <v>18</v>
      </c>
      <c r="H3" s="4" t="s">
        <v>14</v>
      </c>
      <c r="I3" s="4" t="s">
        <v>15</v>
      </c>
      <c r="J3" s="4" t="s">
        <v>16</v>
      </c>
    </row>
    <row r="4" spans="1:12">
      <c r="A4" t="s">
        <v>19</v>
      </c>
      <c r="B4">
        <f>SUMIF('Sales Data'!$C$2:$C$1001,$A4,'Sales Data'!$N$2:$N$1001)</f>
        <v>8918201.8420000002</v>
      </c>
      <c r="C4">
        <f>SUMIF('Sales Data'!$C$2:$C$1001,$A4,'Sales Data'!$K$2:$K$1001)</f>
        <v>9719294.3499999903</v>
      </c>
      <c r="D4">
        <f>SUMIF('Sales Data'!$C$2:$C$1001,$A4,'Sales Data'!$P$2:$P$1001)</f>
        <v>2688646.2319999994</v>
      </c>
      <c r="E4">
        <f>SUMIF('Sales Data'!$C$2:$C$1001,$A4,'Sales Data'!$H$2:$H$1001)</f>
        <v>13002</v>
      </c>
      <c r="G4" t="s">
        <v>20</v>
      </c>
      <c r="H4">
        <f>SUMIF('Sales Data'!$F$2:$F$1001,$G4,'Sales Data'!$N$2:$N$1001)</f>
        <v>4826702.3034999985</v>
      </c>
      <c r="I4">
        <f>SUMIF('Sales Data'!$F$2:$F$1001,$G4,'Sales Data'!$K$2:$K$1001)</f>
        <v>5174035.9300000006</v>
      </c>
      <c r="J4">
        <f>SUMIF('Sales Data'!$F$2:$F$1001,$G4,'Sales Data'!$P$2:$P$1001)</f>
        <v>2362898.213500001</v>
      </c>
    </row>
    <row r="5" spans="1:12">
      <c r="A5" t="s">
        <v>21</v>
      </c>
      <c r="B5">
        <f>SUMIF('Sales Data'!$C$2:$C$1001,$A5,'Sales Data'!$N$2:$N$1001)</f>
        <v>8336341.6169999996</v>
      </c>
      <c r="C5">
        <f>SUMIF('Sales Data'!$C$2:$C$1001,$A5,'Sales Data'!$K$2:$K$1001)</f>
        <v>8975645.9799999986</v>
      </c>
      <c r="D5">
        <f>SUMIF('Sales Data'!$C$2:$C$1001,$A5,'Sales Data'!$P$2:$P$1001)</f>
        <v>2685524.9769999976</v>
      </c>
      <c r="E5">
        <f>SUMIF('Sales Data'!$C$2:$C$1001,$A5,'Sales Data'!$H$2:$H$1001)</f>
        <v>11886</v>
      </c>
      <c r="G5" t="s">
        <v>22</v>
      </c>
      <c r="H5">
        <f>SUMIF('Sales Data'!$F$2:$F$1001,$G5,'Sales Data'!$N$2:$N$1001)</f>
        <v>4502965.5000000019</v>
      </c>
      <c r="I5">
        <f>SUMIF('Sales Data'!$F$2:$F$1001,$G5,'Sales Data'!$K$2:$K$1001)</f>
        <v>4884800.8800000018</v>
      </c>
      <c r="J5">
        <f>SUMIF('Sales Data'!$F$2:$F$1001,$G5,'Sales Data'!$P$2:$P$1001)</f>
        <v>1057051.33</v>
      </c>
    </row>
    <row r="6" spans="1:12">
      <c r="G6" t="s">
        <v>23</v>
      </c>
      <c r="H6">
        <f>SUMIF('Sales Data'!$F$2:$F$1001,$G6,'Sales Data'!$N$2:$N$1001)</f>
        <v>4029938.9314999981</v>
      </c>
      <c r="I6">
        <f>SUMIF('Sales Data'!$F$2:$F$1001,$G6,'Sales Data'!$K$2:$K$1001)</f>
        <v>4425035.7299999995</v>
      </c>
      <c r="J6">
        <f>SUMIF('Sales Data'!$F$2:$F$1001,$G6,'Sales Data'!$P$2:$P$1001)</f>
        <v>604357.25149999955</v>
      </c>
    </row>
    <row r="7" spans="1:12">
      <c r="G7" t="s">
        <v>24</v>
      </c>
      <c r="H7">
        <f>SUMIF('Sales Data'!$F$2:$F$1001,$G7,'Sales Data'!$N$2:$N$1001)</f>
        <v>3894936.7239999999</v>
      </c>
      <c r="I7">
        <f>SUMIF('Sales Data'!$F$2:$F$1001,$G7,'Sales Data'!$K$2:$K$1001)</f>
        <v>4211067.7900000028</v>
      </c>
      <c r="J7">
        <f>SUMIF('Sales Data'!$F$2:$F$1001,$G7,'Sales Data'!$P$2:$P$1001)</f>
        <v>1349864.4139999999</v>
      </c>
    </row>
    <row r="11" spans="1:12" ht="19.95" customHeight="1">
      <c r="A11" s="4" t="s">
        <v>25</v>
      </c>
      <c r="B11" s="4" t="s">
        <v>14</v>
      </c>
      <c r="C11" s="4" t="s">
        <v>15</v>
      </c>
      <c r="D11" s="4" t="s">
        <v>16</v>
      </c>
    </row>
    <row r="12" spans="1:12" ht="19.95" customHeight="1">
      <c r="A12" t="s">
        <v>26</v>
      </c>
      <c r="B12">
        <f>SUMIF('Sales Data'!$D$2:$D$1001,$A12,'Sales Data'!$N$2:$N$1001)</f>
        <v>4521974.2729999982</v>
      </c>
      <c r="C12">
        <f>SUMIF('Sales Data'!$D$2:$D$1001,$A12,'Sales Data'!$K$2:$K$1001)</f>
        <v>4934216.8599999975</v>
      </c>
      <c r="D12">
        <f>SUMIF('Sales Data'!$D$2:$D$1001,$A12,'Sales Data'!$P$2:$P$1001)</f>
        <v>1407925.5929999996</v>
      </c>
      <c r="G12" s="4" t="s">
        <v>27</v>
      </c>
      <c r="H12" s="4" t="s">
        <v>14</v>
      </c>
      <c r="I12" s="4" t="s">
        <v>15</v>
      </c>
    </row>
    <row r="13" spans="1:12">
      <c r="A13" t="s">
        <v>28</v>
      </c>
      <c r="B13">
        <f>SUMIF('Sales Data'!$D$2:$D$1001,$A13,'Sales Data'!$N$2:$N$1001)</f>
        <v>4438747.8025000002</v>
      </c>
      <c r="C13">
        <f>SUMIF('Sales Data'!$D$2:$D$1001,$A13,'Sales Data'!$K$2:$K$1001)</f>
        <v>4744199.8500000034</v>
      </c>
      <c r="D13">
        <f>SUMIF('Sales Data'!$D$2:$D$1001,$A13,'Sales Data'!$P$2:$P$1001)</f>
        <v>1416999.4024999987</v>
      </c>
      <c r="G13" t="s">
        <v>29</v>
      </c>
      <c r="H13">
        <f>SUMIF('Sales Data'!$G$2:$G$1001,$G13,'Sales Data'!$N$2:$N$1001)</f>
        <v>1738752.3490000018</v>
      </c>
      <c r="I13">
        <f>SUMIF('Sales Data'!$G$2:$G$1001,$G13,'Sales Data'!$K$2:$K$1001)</f>
        <v>1904930.6400000001</v>
      </c>
    </row>
    <row r="14" spans="1:12">
      <c r="A14" t="s">
        <v>30</v>
      </c>
      <c r="B14">
        <f>SUMIF('Sales Data'!$D$2:$D$1001,$A14,'Sales Data'!$N$2:$N$1001)</f>
        <v>4317442.8424999993</v>
      </c>
      <c r="C14">
        <f>SUMIF('Sales Data'!$D$2:$D$1001,$A14,'Sales Data'!$K$2:$K$1001)</f>
        <v>4718362.4200000009</v>
      </c>
      <c r="D14">
        <f>SUMIF('Sales Data'!$D$2:$D$1001,$A14,'Sales Data'!$P$2:$P$1001)</f>
        <v>1287223.0424999997</v>
      </c>
      <c r="G14" t="s">
        <v>31</v>
      </c>
      <c r="H14">
        <f>SUMIF('Sales Data'!$G$2:$G$1001,$G14,'Sales Data'!$N$2:$N$1001)</f>
        <v>1705189.7149999999</v>
      </c>
      <c r="I14">
        <f>SUMIF('Sales Data'!$G$2:$G$1001,$G14,'Sales Data'!$K$2:$K$1001)</f>
        <v>1808519.7800000005</v>
      </c>
    </row>
    <row r="15" spans="1:12">
      <c r="A15" t="s">
        <v>32</v>
      </c>
      <c r="B15">
        <f>SUMIF('Sales Data'!$D$2:$D$1001,$A15,'Sales Data'!$N$2:$N$1001)</f>
        <v>3976378.5409999993</v>
      </c>
      <c r="C15">
        <f>SUMIF('Sales Data'!$D$2:$D$1001,$A15,'Sales Data'!$K$2:$K$1001)</f>
        <v>4298161.1999999993</v>
      </c>
      <c r="D15">
        <f>SUMIF('Sales Data'!$D$2:$D$1001,$A15,'Sales Data'!$P$2:$P$1001)</f>
        <v>1262023.1709999996</v>
      </c>
      <c r="G15" t="s">
        <v>33</v>
      </c>
      <c r="H15">
        <f>SUMIF('Sales Data'!$G$2:$G$1001,$G15,'Sales Data'!$N$2:$N$1001)</f>
        <v>1678656.4675000005</v>
      </c>
      <c r="I15">
        <f>SUMIF('Sales Data'!$G$2:$G$1001,$G15,'Sales Data'!$K$2:$K$1001)</f>
        <v>1828711.6299999997</v>
      </c>
    </row>
    <row r="16" spans="1:12">
      <c r="G16" t="s">
        <v>34</v>
      </c>
      <c r="H16">
        <f>SUMIF('Sales Data'!$G$2:$G$1001,$G16,'Sales Data'!$N$2:$N$1001)</f>
        <v>1620628.3774999995</v>
      </c>
      <c r="I16">
        <f>SUMIF('Sales Data'!$G$2:$G$1001,$G16,'Sales Data'!$K$2:$K$1001)</f>
        <v>1741403.1600000001</v>
      </c>
    </row>
    <row r="17" spans="1:9">
      <c r="G17" t="s">
        <v>35</v>
      </c>
      <c r="H17">
        <f>SUMIF('Sales Data'!$G$2:$G$1001,$G17,'Sales Data'!$N$2:$N$1001)</f>
        <v>1602044.2330000002</v>
      </c>
      <c r="I17">
        <f>SUMIF('Sales Data'!$G$2:$G$1001,$G17,'Sales Data'!$K$2:$K$1001)</f>
        <v>1729543.9200000002</v>
      </c>
    </row>
    <row r="18" spans="1:9">
      <c r="G18" t="s">
        <v>36</v>
      </c>
      <c r="H18">
        <f>SUMIF('Sales Data'!$G$2:$G$1001,$G18,'Sales Data'!$N$2:$N$1001)</f>
        <v>1500884.2110000001</v>
      </c>
      <c r="I18">
        <f>SUMIF('Sales Data'!$G$2:$G$1001,$G18,'Sales Data'!$K$2:$K$1001)</f>
        <v>1624112.9900000002</v>
      </c>
    </row>
    <row r="19" spans="1:9">
      <c r="G19" t="s">
        <v>37</v>
      </c>
      <c r="H19">
        <f>SUMIF('Sales Data'!$G$2:$G$1001,$G19,'Sales Data'!$N$2:$N$1001)</f>
        <v>1493963.1609999994</v>
      </c>
      <c r="I19">
        <f>SUMIF('Sales Data'!$G$2:$G$1001,$G19,'Sales Data'!$K$2:$K$1001)</f>
        <v>1636978.3800000006</v>
      </c>
    </row>
    <row r="20" spans="1:9">
      <c r="G20" t="s">
        <v>38</v>
      </c>
      <c r="H20">
        <f>SUMIF('Sales Data'!$G$2:$G$1001,$G20,'Sales Data'!$N$2:$N$1001)</f>
        <v>1317616.0575000003</v>
      </c>
      <c r="I20">
        <f>SUMIF('Sales Data'!$G$2:$G$1001,$G20,'Sales Data'!$K$2:$K$1001)</f>
        <v>1438983.3700000003</v>
      </c>
    </row>
    <row r="21" spans="1:9" ht="19.95" customHeight="1">
      <c r="A21" s="4" t="s">
        <v>39</v>
      </c>
      <c r="B21" s="4" t="s">
        <v>14</v>
      </c>
      <c r="C21" s="4" t="s">
        <v>17</v>
      </c>
      <c r="G21" t="s">
        <v>40</v>
      </c>
      <c r="H21">
        <f>SUMIF('Sales Data'!$G$2:$G$1001,$G21,'Sales Data'!$N$2:$N$1001)</f>
        <v>1266365.7579999999</v>
      </c>
      <c r="I21">
        <f>SUMIF('Sales Data'!$G$2:$G$1001,$G21,'Sales Data'!$K$2:$K$1001)</f>
        <v>1331311.97</v>
      </c>
    </row>
    <row r="22" spans="1:9">
      <c r="A22" t="s">
        <v>41</v>
      </c>
      <c r="B22">
        <f>SUMIF('Sales Data'!$S$2:$S$1001,$A22,'Sales Data'!$N$2:$N$1001)</f>
        <v>8382650.5174999991</v>
      </c>
      <c r="C22">
        <f>SUMIF('Sales Data'!$S$2:$S$1001,$A22,'Sales Data'!$H$2:$H$1001)</f>
        <v>11869</v>
      </c>
      <c r="G22" t="s">
        <v>42</v>
      </c>
      <c r="H22">
        <f>SUMIF('Sales Data'!$G$2:$G$1001,$G22,'Sales Data'!$N$2:$N$1001)</f>
        <v>1222264.7995</v>
      </c>
      <c r="I22">
        <f>SUMIF('Sales Data'!$G$2:$G$1001,$G22,'Sales Data'!$K$2:$K$1001)</f>
        <v>1326545.3299999998</v>
      </c>
    </row>
    <row r="23" spans="1:9">
      <c r="A23" t="s">
        <v>43</v>
      </c>
      <c r="B23">
        <f>SUMIF('Sales Data'!$S$2:$S$1001,$A23,'Sales Data'!$N$2:$N$1001)</f>
        <v>4377132.6514999978</v>
      </c>
      <c r="C23">
        <f>SUMIF('Sales Data'!$S$2:$S$1001,$A23,'Sales Data'!$H$2:$H$1001)</f>
        <v>6433</v>
      </c>
      <c r="G23" t="s">
        <v>44</v>
      </c>
      <c r="H23">
        <f>SUMIF('Sales Data'!$G$2:$G$1001,$G23,'Sales Data'!$N$2:$N$1001)</f>
        <v>1218359.713</v>
      </c>
      <c r="I23">
        <f>SUMIF('Sales Data'!$G$2:$G$1001,$G23,'Sales Data'!$K$2:$K$1001)</f>
        <v>1349073.9800000002</v>
      </c>
    </row>
    <row r="24" spans="1:9">
      <c r="A24" t="s">
        <v>45</v>
      </c>
      <c r="B24">
        <f>SUMIF('Sales Data'!$S$2:$S$1001,$A24,'Sales Data'!$N$2:$N$1001)</f>
        <v>2356805.7550000008</v>
      </c>
      <c r="C24">
        <f>SUMIF('Sales Data'!$S$2:$S$1001,$A24,'Sales Data'!$H$2:$H$1001)</f>
        <v>3400</v>
      </c>
      <c r="G24" t="s">
        <v>46</v>
      </c>
      <c r="H24">
        <f>SUMIF('Sales Data'!$G$2:$G$1001,$G24,'Sales Data'!$N$2:$N$1001)</f>
        <v>889818.61699999974</v>
      </c>
      <c r="I24">
        <f>SUMIF('Sales Data'!$G$2:$G$1001,$G24,'Sales Data'!$K$2:$K$1001)</f>
        <v>974825.17999999982</v>
      </c>
    </row>
    <row r="25" spans="1:9">
      <c r="A25" t="s">
        <v>47</v>
      </c>
      <c r="B25">
        <f>SUMIF('Sales Data'!$S$2:$S$1001,$A25,'Sales Data'!$N$2:$N$1001)</f>
        <v>2137954.5349999997</v>
      </c>
      <c r="C25">
        <f>SUMIF('Sales Data'!$S$2:$S$1001,$A25,'Sales Data'!$H$2:$H$1001)</f>
        <v>3186</v>
      </c>
    </row>
    <row r="32" spans="1:9" ht="19.95" customHeight="1">
      <c r="G32" s="4" t="s">
        <v>48</v>
      </c>
      <c r="H32" s="4" t="s">
        <v>14</v>
      </c>
      <c r="I32" s="4" t="s">
        <v>17</v>
      </c>
    </row>
    <row r="33" spans="1:9">
      <c r="G33" t="s">
        <v>49</v>
      </c>
      <c r="H33">
        <f>SUMIF('Sales Data'!$R$2:$R$1001,$G33,'Sales Data'!$N$2:$N$1001)</f>
        <v>8831861.1799999978</v>
      </c>
      <c r="I33">
        <f>SUMIF('Sales Data'!$R$2:$R$1001,$G33,'Sales Data'!$H$2:$H$1001)</f>
        <v>12568</v>
      </c>
    </row>
    <row r="34" spans="1:9">
      <c r="G34" t="s">
        <v>50</v>
      </c>
      <c r="H34">
        <f>SUMIF('Sales Data'!$R$2:$R$1001,$G34,'Sales Data'!$N$2:$N$1001)</f>
        <v>5641105.9710000008</v>
      </c>
      <c r="I34">
        <f>SUMIF('Sales Data'!$R$2:$R$1001,$G34,'Sales Data'!$H$2:$H$1001)</f>
        <v>8352</v>
      </c>
    </row>
    <row r="35" spans="1:9">
      <c r="G35" t="s">
        <v>51</v>
      </c>
      <c r="H35">
        <f>SUMIF('Sales Data'!$R$2:$R$1001,$G35,'Sales Data'!$N$2:$N$1001)</f>
        <v>2781576.3079999997</v>
      </c>
      <c r="I35">
        <f>SUMIF('Sales Data'!$R$2:$R$1001,$G35,'Sales Data'!$H$2:$H$1001)</f>
        <v>3968</v>
      </c>
    </row>
    <row r="41" spans="1:9">
      <c r="A41" t="s">
        <v>52</v>
      </c>
    </row>
    <row r="42" spans="1:9">
      <c r="A42" t="s">
        <v>53</v>
      </c>
    </row>
    <row r="43" spans="1:9">
      <c r="A4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1"/>
  <sheetViews>
    <sheetView topLeftCell="I1" workbookViewId="0">
      <pane ySplit="1" topLeftCell="A2" activePane="bottomLeft" state="frozen"/>
      <selection pane="bottomLeft" activeCell="R14" sqref="R14"/>
    </sheetView>
  </sheetViews>
  <sheetFormatPr defaultRowHeight="13.8"/>
  <cols>
    <col min="1" max="4" width="15" customWidth="1"/>
    <col min="5" max="5" width="19" customWidth="1"/>
    <col min="6" max="17" width="15" customWidth="1"/>
    <col min="18" max="18" width="18" customWidth="1"/>
    <col min="19" max="20" width="15" customWidth="1"/>
  </cols>
  <sheetData>
    <row r="1" spans="1:20" ht="31.95" customHeight="1">
      <c r="A1" s="2" t="s">
        <v>55</v>
      </c>
      <c r="B1" s="2" t="s">
        <v>56</v>
      </c>
      <c r="C1" s="2" t="s">
        <v>13</v>
      </c>
      <c r="D1" s="2" t="s">
        <v>25</v>
      </c>
      <c r="E1" s="2" t="s">
        <v>57</v>
      </c>
      <c r="F1" s="2" t="s">
        <v>18</v>
      </c>
      <c r="G1" s="2" t="s">
        <v>27</v>
      </c>
      <c r="H1" s="2" t="s">
        <v>17</v>
      </c>
      <c r="I1" s="2" t="s">
        <v>58</v>
      </c>
      <c r="J1" s="2" t="s">
        <v>59</v>
      </c>
      <c r="K1" s="2" t="s">
        <v>15</v>
      </c>
      <c r="L1" s="2" t="s">
        <v>60</v>
      </c>
      <c r="M1" s="2" t="s">
        <v>61</v>
      </c>
      <c r="N1" s="2" t="s">
        <v>14</v>
      </c>
      <c r="O1" s="2" t="s">
        <v>62</v>
      </c>
      <c r="P1" s="2" t="s">
        <v>16</v>
      </c>
      <c r="Q1" s="2" t="s">
        <v>63</v>
      </c>
      <c r="R1" s="2" t="s">
        <v>64</v>
      </c>
      <c r="S1" s="2" t="s">
        <v>65</v>
      </c>
      <c r="T1" s="2" t="s">
        <v>66</v>
      </c>
    </row>
    <row r="2" spans="1:20">
      <c r="A2" t="s">
        <v>67</v>
      </c>
      <c r="B2" s="3">
        <v>45293</v>
      </c>
      <c r="C2" t="s">
        <v>19</v>
      </c>
      <c r="D2" t="s">
        <v>32</v>
      </c>
      <c r="E2" t="s">
        <v>68</v>
      </c>
      <c r="F2" t="s">
        <v>20</v>
      </c>
      <c r="G2" t="s">
        <v>34</v>
      </c>
      <c r="H2">
        <v>33</v>
      </c>
      <c r="I2">
        <v>1362.09</v>
      </c>
      <c r="J2">
        <v>689.71</v>
      </c>
      <c r="K2">
        <f t="shared" ref="K2:K65" si="0">H2*I2</f>
        <v>44948.969999999994</v>
      </c>
      <c r="L2">
        <v>0</v>
      </c>
      <c r="M2">
        <f t="shared" ref="M2:M65" si="1">K2*L2</f>
        <v>0</v>
      </c>
      <c r="N2">
        <f t="shared" ref="N2:N65" si="2">K2-M2</f>
        <v>44948.969999999994</v>
      </c>
      <c r="O2">
        <f t="shared" ref="O2:O65" si="3">H2*J2</f>
        <v>22760.43</v>
      </c>
      <c r="P2">
        <f t="shared" ref="P2:P65" si="4">N2-O2</f>
        <v>22188.539999999994</v>
      </c>
      <c r="Q2">
        <f t="shared" ref="Q2:Q65" si="5">IFERROR(P2/N2*100,0)</f>
        <v>49.363845267199665</v>
      </c>
      <c r="R2" t="s">
        <v>49</v>
      </c>
      <c r="S2" t="s">
        <v>43</v>
      </c>
      <c r="T2">
        <v>3.6</v>
      </c>
    </row>
    <row r="3" spans="1:20">
      <c r="A3" t="s">
        <v>69</v>
      </c>
      <c r="B3" s="3">
        <v>45293</v>
      </c>
      <c r="C3" t="s">
        <v>19</v>
      </c>
      <c r="D3" t="s">
        <v>28</v>
      </c>
      <c r="E3" t="s">
        <v>70</v>
      </c>
      <c r="F3" t="s">
        <v>20</v>
      </c>
      <c r="G3" t="s">
        <v>36</v>
      </c>
      <c r="H3">
        <v>43</v>
      </c>
      <c r="I3">
        <v>984.5</v>
      </c>
      <c r="J3">
        <v>356.71</v>
      </c>
      <c r="K3">
        <f t="shared" si="0"/>
        <v>42333.5</v>
      </c>
      <c r="L3">
        <v>0.05</v>
      </c>
      <c r="M3">
        <f t="shared" si="1"/>
        <v>2116.6750000000002</v>
      </c>
      <c r="N3">
        <f t="shared" si="2"/>
        <v>40216.824999999997</v>
      </c>
      <c r="O3">
        <f t="shared" si="3"/>
        <v>15338.529999999999</v>
      </c>
      <c r="P3">
        <f t="shared" si="4"/>
        <v>24878.294999999998</v>
      </c>
      <c r="Q3">
        <f t="shared" si="5"/>
        <v>61.86041538584908</v>
      </c>
      <c r="R3" t="s">
        <v>49</v>
      </c>
      <c r="S3" t="s">
        <v>45</v>
      </c>
      <c r="T3">
        <v>3.8</v>
      </c>
    </row>
    <row r="4" spans="1:20">
      <c r="A4" t="s">
        <v>71</v>
      </c>
      <c r="B4" s="3">
        <v>45293</v>
      </c>
      <c r="C4" t="s">
        <v>19</v>
      </c>
      <c r="D4" t="s">
        <v>30</v>
      </c>
      <c r="E4" t="s">
        <v>70</v>
      </c>
      <c r="F4" t="s">
        <v>23</v>
      </c>
      <c r="G4" t="s">
        <v>44</v>
      </c>
      <c r="H4">
        <v>43</v>
      </c>
      <c r="I4">
        <v>1328.52</v>
      </c>
      <c r="J4">
        <v>983.37</v>
      </c>
      <c r="K4">
        <f t="shared" si="0"/>
        <v>57126.36</v>
      </c>
      <c r="L4">
        <v>0.2</v>
      </c>
      <c r="M4">
        <f t="shared" si="1"/>
        <v>11425.272000000001</v>
      </c>
      <c r="N4">
        <f t="shared" si="2"/>
        <v>45701.088000000003</v>
      </c>
      <c r="O4">
        <f t="shared" si="3"/>
        <v>42284.91</v>
      </c>
      <c r="P4">
        <f t="shared" si="4"/>
        <v>3416.1779999999999</v>
      </c>
      <c r="Q4">
        <f t="shared" si="5"/>
        <v>7.4750474211904967</v>
      </c>
      <c r="R4" t="s">
        <v>51</v>
      </c>
      <c r="S4" t="s">
        <v>41</v>
      </c>
      <c r="T4">
        <v>4.5</v>
      </c>
    </row>
    <row r="5" spans="1:20">
      <c r="A5" t="s">
        <v>72</v>
      </c>
      <c r="B5" s="3">
        <v>45294</v>
      </c>
      <c r="C5" t="s">
        <v>19</v>
      </c>
      <c r="D5" t="s">
        <v>32</v>
      </c>
      <c r="E5" t="s">
        <v>68</v>
      </c>
      <c r="F5" t="s">
        <v>20</v>
      </c>
      <c r="G5" t="s">
        <v>31</v>
      </c>
      <c r="H5">
        <v>18</v>
      </c>
      <c r="I5">
        <v>1407.57</v>
      </c>
      <c r="J5">
        <v>633.88</v>
      </c>
      <c r="K5">
        <f t="shared" si="0"/>
        <v>25336.26</v>
      </c>
      <c r="L5">
        <v>0.1</v>
      </c>
      <c r="M5">
        <f t="shared" si="1"/>
        <v>2533.6260000000002</v>
      </c>
      <c r="N5">
        <f t="shared" si="2"/>
        <v>22802.633999999998</v>
      </c>
      <c r="O5">
        <f t="shared" si="3"/>
        <v>11409.84</v>
      </c>
      <c r="P5">
        <f t="shared" si="4"/>
        <v>11392.793999999998</v>
      </c>
      <c r="Q5">
        <f t="shared" si="5"/>
        <v>49.962622739109875</v>
      </c>
      <c r="R5" t="s">
        <v>49</v>
      </c>
      <c r="S5" t="s">
        <v>43</v>
      </c>
      <c r="T5">
        <v>3.3</v>
      </c>
    </row>
    <row r="6" spans="1:20">
      <c r="A6" t="s">
        <v>73</v>
      </c>
      <c r="B6" s="3">
        <v>45295</v>
      </c>
      <c r="C6" t="s">
        <v>19</v>
      </c>
      <c r="D6" t="s">
        <v>28</v>
      </c>
      <c r="E6" t="s">
        <v>68</v>
      </c>
      <c r="F6" t="s">
        <v>22</v>
      </c>
      <c r="G6" t="s">
        <v>42</v>
      </c>
      <c r="H6">
        <v>35</v>
      </c>
      <c r="I6">
        <v>280.2</v>
      </c>
      <c r="J6">
        <v>215.42</v>
      </c>
      <c r="K6">
        <f t="shared" si="0"/>
        <v>9807</v>
      </c>
      <c r="L6">
        <v>0.15</v>
      </c>
      <c r="M6">
        <f t="shared" si="1"/>
        <v>1471.05</v>
      </c>
      <c r="N6">
        <f t="shared" si="2"/>
        <v>8335.9500000000007</v>
      </c>
      <c r="O6">
        <f t="shared" si="3"/>
        <v>7539.7</v>
      </c>
      <c r="P6">
        <f t="shared" si="4"/>
        <v>796.25000000000091</v>
      </c>
      <c r="Q6">
        <f t="shared" si="5"/>
        <v>9.5520006717890684</v>
      </c>
      <c r="R6" t="s">
        <v>49</v>
      </c>
      <c r="S6" t="s">
        <v>43</v>
      </c>
      <c r="T6">
        <v>3.3</v>
      </c>
    </row>
    <row r="7" spans="1:20">
      <c r="A7" t="s">
        <v>74</v>
      </c>
      <c r="B7" s="3">
        <v>45295</v>
      </c>
      <c r="C7" t="s">
        <v>19</v>
      </c>
      <c r="D7" t="s">
        <v>30</v>
      </c>
      <c r="E7" t="s">
        <v>68</v>
      </c>
      <c r="F7" t="s">
        <v>22</v>
      </c>
      <c r="G7" t="s">
        <v>42</v>
      </c>
      <c r="H7">
        <v>9</v>
      </c>
      <c r="I7">
        <v>596.08000000000004</v>
      </c>
      <c r="J7">
        <v>458.27</v>
      </c>
      <c r="K7">
        <f t="shared" si="0"/>
        <v>5364.72</v>
      </c>
      <c r="L7">
        <v>0.1</v>
      </c>
      <c r="M7">
        <f t="shared" si="1"/>
        <v>536.47200000000009</v>
      </c>
      <c r="N7">
        <f t="shared" si="2"/>
        <v>4828.2480000000005</v>
      </c>
      <c r="O7">
        <f t="shared" si="3"/>
        <v>4124.43</v>
      </c>
      <c r="P7">
        <f t="shared" si="4"/>
        <v>703.81800000000021</v>
      </c>
      <c r="Q7">
        <f t="shared" si="5"/>
        <v>14.577088832222373</v>
      </c>
      <c r="R7" t="s">
        <v>50</v>
      </c>
      <c r="S7" t="s">
        <v>45</v>
      </c>
      <c r="T7">
        <v>3.9</v>
      </c>
    </row>
    <row r="8" spans="1:20">
      <c r="A8" t="s">
        <v>75</v>
      </c>
      <c r="B8" s="3">
        <v>45296</v>
      </c>
      <c r="C8" t="s">
        <v>19</v>
      </c>
      <c r="D8" t="s">
        <v>26</v>
      </c>
      <c r="E8" t="s">
        <v>68</v>
      </c>
      <c r="F8" t="s">
        <v>20</v>
      </c>
      <c r="G8" t="s">
        <v>31</v>
      </c>
      <c r="H8">
        <v>14</v>
      </c>
      <c r="I8">
        <v>737.11</v>
      </c>
      <c r="J8">
        <v>431.56</v>
      </c>
      <c r="K8">
        <f t="shared" si="0"/>
        <v>10319.540000000001</v>
      </c>
      <c r="L8">
        <v>0.1</v>
      </c>
      <c r="M8">
        <f t="shared" si="1"/>
        <v>1031.9540000000002</v>
      </c>
      <c r="N8">
        <f t="shared" si="2"/>
        <v>9287.5860000000011</v>
      </c>
      <c r="O8">
        <f t="shared" si="3"/>
        <v>6041.84</v>
      </c>
      <c r="P8">
        <f t="shared" si="4"/>
        <v>3245.746000000001</v>
      </c>
      <c r="Q8">
        <f t="shared" si="5"/>
        <v>34.947143423490246</v>
      </c>
      <c r="R8" t="s">
        <v>49</v>
      </c>
      <c r="S8" t="s">
        <v>47</v>
      </c>
      <c r="T8">
        <v>4.5</v>
      </c>
    </row>
    <row r="9" spans="1:20">
      <c r="A9" t="s">
        <v>76</v>
      </c>
      <c r="B9" s="3">
        <v>45297</v>
      </c>
      <c r="C9" t="s">
        <v>19</v>
      </c>
      <c r="D9" t="s">
        <v>26</v>
      </c>
      <c r="E9" t="s">
        <v>68</v>
      </c>
      <c r="F9" t="s">
        <v>20</v>
      </c>
      <c r="G9" t="s">
        <v>36</v>
      </c>
      <c r="H9">
        <v>48</v>
      </c>
      <c r="I9">
        <v>788.47</v>
      </c>
      <c r="J9">
        <v>302.33999999999997</v>
      </c>
      <c r="K9">
        <f t="shared" si="0"/>
        <v>37846.559999999998</v>
      </c>
      <c r="L9">
        <v>0.15</v>
      </c>
      <c r="M9">
        <f t="shared" si="1"/>
        <v>5676.9839999999995</v>
      </c>
      <c r="N9">
        <f t="shared" si="2"/>
        <v>32169.575999999997</v>
      </c>
      <c r="O9">
        <f t="shared" si="3"/>
        <v>14512.32</v>
      </c>
      <c r="P9">
        <f t="shared" si="4"/>
        <v>17657.255999999998</v>
      </c>
      <c r="Q9">
        <f t="shared" si="5"/>
        <v>54.888059450954529</v>
      </c>
      <c r="R9" t="s">
        <v>50</v>
      </c>
      <c r="S9" t="s">
        <v>41</v>
      </c>
      <c r="T9">
        <v>4</v>
      </c>
    </row>
    <row r="10" spans="1:20">
      <c r="A10" t="s">
        <v>77</v>
      </c>
      <c r="B10" s="3">
        <v>45297</v>
      </c>
      <c r="C10" t="s">
        <v>19</v>
      </c>
      <c r="D10" t="s">
        <v>30</v>
      </c>
      <c r="E10" t="s">
        <v>70</v>
      </c>
      <c r="F10" t="s">
        <v>24</v>
      </c>
      <c r="G10" t="s">
        <v>40</v>
      </c>
      <c r="H10">
        <v>29</v>
      </c>
      <c r="I10">
        <v>639.20000000000005</v>
      </c>
      <c r="J10">
        <v>370.59</v>
      </c>
      <c r="K10">
        <f t="shared" si="0"/>
        <v>18536.800000000003</v>
      </c>
      <c r="L10">
        <v>0</v>
      </c>
      <c r="M10">
        <f t="shared" si="1"/>
        <v>0</v>
      </c>
      <c r="N10">
        <f t="shared" si="2"/>
        <v>18536.800000000003</v>
      </c>
      <c r="O10">
        <f t="shared" si="3"/>
        <v>10747.109999999999</v>
      </c>
      <c r="P10">
        <f t="shared" si="4"/>
        <v>7789.6900000000041</v>
      </c>
      <c r="Q10">
        <f t="shared" si="5"/>
        <v>42.02284105131416</v>
      </c>
      <c r="R10" t="s">
        <v>49</v>
      </c>
      <c r="S10" t="s">
        <v>43</v>
      </c>
      <c r="T10">
        <v>4</v>
      </c>
    </row>
    <row r="11" spans="1:20">
      <c r="A11" t="s">
        <v>78</v>
      </c>
      <c r="B11" s="3">
        <v>45298</v>
      </c>
      <c r="C11" t="s">
        <v>19</v>
      </c>
      <c r="D11" t="s">
        <v>26</v>
      </c>
      <c r="E11" t="s">
        <v>68</v>
      </c>
      <c r="F11" t="s">
        <v>24</v>
      </c>
      <c r="G11" t="s">
        <v>46</v>
      </c>
      <c r="H11">
        <v>13</v>
      </c>
      <c r="I11">
        <v>152.06</v>
      </c>
      <c r="J11">
        <v>84.91</v>
      </c>
      <c r="K11">
        <f t="shared" si="0"/>
        <v>1976.78</v>
      </c>
      <c r="L11">
        <v>0.05</v>
      </c>
      <c r="M11">
        <f t="shared" si="1"/>
        <v>98.838999999999999</v>
      </c>
      <c r="N11">
        <f t="shared" si="2"/>
        <v>1877.941</v>
      </c>
      <c r="O11">
        <f t="shared" si="3"/>
        <v>1103.83</v>
      </c>
      <c r="P11">
        <f t="shared" si="4"/>
        <v>774.1110000000001</v>
      </c>
      <c r="Q11">
        <f t="shared" si="5"/>
        <v>41.221263074825039</v>
      </c>
      <c r="R11" t="s">
        <v>49</v>
      </c>
      <c r="S11" t="s">
        <v>41</v>
      </c>
      <c r="T11">
        <v>4</v>
      </c>
    </row>
    <row r="12" spans="1:20">
      <c r="A12" t="s">
        <v>79</v>
      </c>
      <c r="B12" s="3">
        <v>45299</v>
      </c>
      <c r="C12" t="s">
        <v>19</v>
      </c>
      <c r="D12" t="s">
        <v>28</v>
      </c>
      <c r="E12" t="s">
        <v>68</v>
      </c>
      <c r="F12" t="s">
        <v>20</v>
      </c>
      <c r="G12" t="s">
        <v>31</v>
      </c>
      <c r="H12">
        <v>47</v>
      </c>
      <c r="I12">
        <v>1138.45</v>
      </c>
      <c r="J12">
        <v>677.21</v>
      </c>
      <c r="K12">
        <f t="shared" si="0"/>
        <v>53507.15</v>
      </c>
      <c r="L12">
        <v>0</v>
      </c>
      <c r="M12">
        <f t="shared" si="1"/>
        <v>0</v>
      </c>
      <c r="N12">
        <f t="shared" si="2"/>
        <v>53507.15</v>
      </c>
      <c r="O12">
        <f t="shared" si="3"/>
        <v>31828.870000000003</v>
      </c>
      <c r="P12">
        <f t="shared" si="4"/>
        <v>21678.28</v>
      </c>
      <c r="Q12">
        <f t="shared" si="5"/>
        <v>40.514734946637972</v>
      </c>
      <c r="R12" t="s">
        <v>49</v>
      </c>
      <c r="S12" t="s">
        <v>43</v>
      </c>
      <c r="T12">
        <v>3.5</v>
      </c>
    </row>
    <row r="13" spans="1:20">
      <c r="A13" t="s">
        <v>80</v>
      </c>
      <c r="B13" s="3">
        <v>45299</v>
      </c>
      <c r="C13" t="s">
        <v>19</v>
      </c>
      <c r="D13" t="s">
        <v>28</v>
      </c>
      <c r="E13" t="s">
        <v>68</v>
      </c>
      <c r="F13" t="s">
        <v>24</v>
      </c>
      <c r="G13" t="s">
        <v>29</v>
      </c>
      <c r="H13">
        <v>5</v>
      </c>
      <c r="I13">
        <v>558.27</v>
      </c>
      <c r="J13">
        <v>282.49</v>
      </c>
      <c r="K13">
        <f t="shared" si="0"/>
        <v>2791.35</v>
      </c>
      <c r="L13">
        <v>0.25</v>
      </c>
      <c r="M13">
        <f t="shared" si="1"/>
        <v>697.83749999999998</v>
      </c>
      <c r="N13">
        <f t="shared" si="2"/>
        <v>2093.5124999999998</v>
      </c>
      <c r="O13">
        <f t="shared" si="3"/>
        <v>1412.45</v>
      </c>
      <c r="P13">
        <f t="shared" si="4"/>
        <v>681.06249999999977</v>
      </c>
      <c r="Q13">
        <f t="shared" si="5"/>
        <v>32.532048411461588</v>
      </c>
      <c r="R13" t="s">
        <v>49</v>
      </c>
      <c r="S13" t="s">
        <v>41</v>
      </c>
      <c r="T13">
        <v>3.2</v>
      </c>
    </row>
    <row r="14" spans="1:20">
      <c r="A14" t="s">
        <v>81</v>
      </c>
      <c r="B14" s="3">
        <v>45300</v>
      </c>
      <c r="C14" t="s">
        <v>19</v>
      </c>
      <c r="D14" t="s">
        <v>30</v>
      </c>
      <c r="E14" t="s">
        <v>70</v>
      </c>
      <c r="F14" t="s">
        <v>23</v>
      </c>
      <c r="G14" t="s">
        <v>38</v>
      </c>
      <c r="H14">
        <v>19</v>
      </c>
      <c r="I14">
        <v>183.56</v>
      </c>
      <c r="J14">
        <v>133.11000000000001</v>
      </c>
      <c r="K14">
        <f t="shared" si="0"/>
        <v>3487.64</v>
      </c>
      <c r="L14">
        <v>0.2</v>
      </c>
      <c r="M14">
        <f t="shared" si="1"/>
        <v>697.52800000000002</v>
      </c>
      <c r="N14">
        <f t="shared" si="2"/>
        <v>2790.1120000000001</v>
      </c>
      <c r="O14">
        <f t="shared" si="3"/>
        <v>2529.09</v>
      </c>
      <c r="P14">
        <f t="shared" si="4"/>
        <v>261.02199999999993</v>
      </c>
      <c r="Q14">
        <f t="shared" si="5"/>
        <v>9.3552516888210917</v>
      </c>
      <c r="R14" t="s">
        <v>51</v>
      </c>
      <c r="S14" t="s">
        <v>41</v>
      </c>
      <c r="T14">
        <v>4.5999999999999996</v>
      </c>
    </row>
    <row r="15" spans="1:20">
      <c r="A15" t="s">
        <v>82</v>
      </c>
      <c r="B15" s="3">
        <v>45300</v>
      </c>
      <c r="C15" t="s">
        <v>19</v>
      </c>
      <c r="D15" t="s">
        <v>28</v>
      </c>
      <c r="E15" t="s">
        <v>68</v>
      </c>
      <c r="F15" t="s">
        <v>23</v>
      </c>
      <c r="G15" t="s">
        <v>44</v>
      </c>
      <c r="H15">
        <v>24</v>
      </c>
      <c r="I15">
        <v>1174.08</v>
      </c>
      <c r="J15">
        <v>960.57</v>
      </c>
      <c r="K15">
        <f t="shared" si="0"/>
        <v>28177.919999999998</v>
      </c>
      <c r="L15">
        <v>0</v>
      </c>
      <c r="M15">
        <f t="shared" si="1"/>
        <v>0</v>
      </c>
      <c r="N15">
        <f t="shared" si="2"/>
        <v>28177.919999999998</v>
      </c>
      <c r="O15">
        <f t="shared" si="3"/>
        <v>23053.68</v>
      </c>
      <c r="P15">
        <f t="shared" si="4"/>
        <v>5124.239999999998</v>
      </c>
      <c r="Q15">
        <f t="shared" si="5"/>
        <v>18.185302534750608</v>
      </c>
      <c r="R15" t="s">
        <v>49</v>
      </c>
      <c r="S15" t="s">
        <v>41</v>
      </c>
      <c r="T15">
        <v>3.3</v>
      </c>
    </row>
    <row r="16" spans="1:20">
      <c r="A16" t="s">
        <v>83</v>
      </c>
      <c r="B16" s="3">
        <v>45300</v>
      </c>
      <c r="C16" t="s">
        <v>19</v>
      </c>
      <c r="D16" t="s">
        <v>32</v>
      </c>
      <c r="E16" t="s">
        <v>70</v>
      </c>
      <c r="F16" t="s">
        <v>24</v>
      </c>
      <c r="G16" t="s">
        <v>29</v>
      </c>
      <c r="H16">
        <v>25</v>
      </c>
      <c r="I16">
        <v>728.86</v>
      </c>
      <c r="J16">
        <v>483.7</v>
      </c>
      <c r="K16">
        <f t="shared" si="0"/>
        <v>18221.5</v>
      </c>
      <c r="L16">
        <v>0.1</v>
      </c>
      <c r="M16">
        <f t="shared" si="1"/>
        <v>1822.15</v>
      </c>
      <c r="N16">
        <f t="shared" si="2"/>
        <v>16399.349999999999</v>
      </c>
      <c r="O16">
        <f t="shared" si="3"/>
        <v>12092.5</v>
      </c>
      <c r="P16">
        <f t="shared" si="4"/>
        <v>4306.8499999999985</v>
      </c>
      <c r="Q16">
        <f t="shared" si="5"/>
        <v>26.262321372493414</v>
      </c>
      <c r="R16" t="s">
        <v>50</v>
      </c>
      <c r="S16" t="s">
        <v>43</v>
      </c>
      <c r="T16">
        <v>3.9</v>
      </c>
    </row>
    <row r="17" spans="1:20">
      <c r="A17" t="s">
        <v>84</v>
      </c>
      <c r="B17" s="3">
        <v>45300</v>
      </c>
      <c r="C17" t="s">
        <v>19</v>
      </c>
      <c r="D17" t="s">
        <v>30</v>
      </c>
      <c r="E17" t="s">
        <v>68</v>
      </c>
      <c r="F17" t="s">
        <v>22</v>
      </c>
      <c r="G17" t="s">
        <v>35</v>
      </c>
      <c r="H17">
        <v>19</v>
      </c>
      <c r="I17">
        <v>1397.93</v>
      </c>
      <c r="J17">
        <v>1067.07</v>
      </c>
      <c r="K17">
        <f t="shared" si="0"/>
        <v>26560.670000000002</v>
      </c>
      <c r="L17">
        <v>0.2</v>
      </c>
      <c r="M17">
        <f t="shared" si="1"/>
        <v>5312.1340000000009</v>
      </c>
      <c r="N17">
        <f t="shared" si="2"/>
        <v>21248.536</v>
      </c>
      <c r="O17">
        <f t="shared" si="3"/>
        <v>20274.329999999998</v>
      </c>
      <c r="P17">
        <f t="shared" si="4"/>
        <v>974.20600000000195</v>
      </c>
      <c r="Q17">
        <f t="shared" si="5"/>
        <v>4.5848146902920845</v>
      </c>
      <c r="R17" t="s">
        <v>49</v>
      </c>
      <c r="S17" t="s">
        <v>41</v>
      </c>
      <c r="T17">
        <v>4.5999999999999996</v>
      </c>
    </row>
    <row r="18" spans="1:20">
      <c r="A18" t="s">
        <v>85</v>
      </c>
      <c r="B18" s="3">
        <v>45302</v>
      </c>
      <c r="C18" t="s">
        <v>19</v>
      </c>
      <c r="D18" t="s">
        <v>30</v>
      </c>
      <c r="E18" t="s">
        <v>86</v>
      </c>
      <c r="F18" t="s">
        <v>22</v>
      </c>
      <c r="G18" t="s">
        <v>42</v>
      </c>
      <c r="H18">
        <v>5</v>
      </c>
      <c r="I18">
        <v>332.75</v>
      </c>
      <c r="J18">
        <v>245.95</v>
      </c>
      <c r="K18">
        <f t="shared" si="0"/>
        <v>1663.75</v>
      </c>
      <c r="L18">
        <v>0</v>
      </c>
      <c r="M18">
        <f t="shared" si="1"/>
        <v>0</v>
      </c>
      <c r="N18">
        <f t="shared" si="2"/>
        <v>1663.75</v>
      </c>
      <c r="O18">
        <f t="shared" si="3"/>
        <v>1229.75</v>
      </c>
      <c r="P18">
        <f t="shared" si="4"/>
        <v>434</v>
      </c>
      <c r="Q18">
        <f t="shared" si="5"/>
        <v>26.085649887302782</v>
      </c>
      <c r="R18" t="s">
        <v>49</v>
      </c>
      <c r="S18" t="s">
        <v>45</v>
      </c>
      <c r="T18">
        <v>4.0999999999999996</v>
      </c>
    </row>
    <row r="19" spans="1:20">
      <c r="A19" t="s">
        <v>87</v>
      </c>
      <c r="B19" s="3">
        <v>45303</v>
      </c>
      <c r="C19" t="s">
        <v>19</v>
      </c>
      <c r="D19" t="s">
        <v>26</v>
      </c>
      <c r="E19" t="s">
        <v>86</v>
      </c>
      <c r="F19" t="s">
        <v>23</v>
      </c>
      <c r="G19" t="s">
        <v>37</v>
      </c>
      <c r="H19">
        <v>8</v>
      </c>
      <c r="I19">
        <v>758.87</v>
      </c>
      <c r="J19">
        <v>585.30999999999995</v>
      </c>
      <c r="K19">
        <f t="shared" si="0"/>
        <v>6070.96</v>
      </c>
      <c r="L19">
        <v>0.05</v>
      </c>
      <c r="M19">
        <f t="shared" si="1"/>
        <v>303.548</v>
      </c>
      <c r="N19">
        <f t="shared" si="2"/>
        <v>5767.4120000000003</v>
      </c>
      <c r="O19">
        <f t="shared" si="3"/>
        <v>4682.4799999999996</v>
      </c>
      <c r="P19">
        <f t="shared" si="4"/>
        <v>1084.9320000000007</v>
      </c>
      <c r="Q19">
        <f t="shared" si="5"/>
        <v>18.811418362343467</v>
      </c>
      <c r="R19" t="s">
        <v>51</v>
      </c>
      <c r="S19" t="s">
        <v>41</v>
      </c>
      <c r="T19">
        <v>4.9000000000000004</v>
      </c>
    </row>
    <row r="20" spans="1:20">
      <c r="A20" t="s">
        <v>88</v>
      </c>
      <c r="B20" s="3">
        <v>45303</v>
      </c>
      <c r="C20" t="s">
        <v>19</v>
      </c>
      <c r="D20" t="s">
        <v>32</v>
      </c>
      <c r="E20" t="s">
        <v>68</v>
      </c>
      <c r="F20" t="s">
        <v>23</v>
      </c>
      <c r="G20" t="s">
        <v>38</v>
      </c>
      <c r="H20">
        <v>3</v>
      </c>
      <c r="I20">
        <v>897.69</v>
      </c>
      <c r="J20">
        <v>704.87</v>
      </c>
      <c r="K20">
        <f t="shared" si="0"/>
        <v>2693.07</v>
      </c>
      <c r="L20">
        <v>0.2</v>
      </c>
      <c r="M20">
        <f t="shared" si="1"/>
        <v>538.61400000000003</v>
      </c>
      <c r="N20">
        <f t="shared" si="2"/>
        <v>2154.4560000000001</v>
      </c>
      <c r="O20">
        <f t="shared" si="3"/>
        <v>2114.61</v>
      </c>
      <c r="P20">
        <f t="shared" si="4"/>
        <v>39.846000000000004</v>
      </c>
      <c r="Q20">
        <f t="shared" si="5"/>
        <v>1.8494691931513108</v>
      </c>
      <c r="R20" t="s">
        <v>49</v>
      </c>
      <c r="S20" t="s">
        <v>41</v>
      </c>
      <c r="T20">
        <v>3.4</v>
      </c>
    </row>
    <row r="21" spans="1:20">
      <c r="A21" t="s">
        <v>89</v>
      </c>
      <c r="B21" s="3">
        <v>45303</v>
      </c>
      <c r="C21" t="s">
        <v>19</v>
      </c>
      <c r="D21" t="s">
        <v>32</v>
      </c>
      <c r="E21" t="s">
        <v>68</v>
      </c>
      <c r="F21" t="s">
        <v>22</v>
      </c>
      <c r="G21" t="s">
        <v>35</v>
      </c>
      <c r="H21">
        <v>2</v>
      </c>
      <c r="I21">
        <v>707.28</v>
      </c>
      <c r="J21">
        <v>524.63</v>
      </c>
      <c r="K21">
        <f t="shared" si="0"/>
        <v>1414.56</v>
      </c>
      <c r="L21">
        <v>0</v>
      </c>
      <c r="M21">
        <f t="shared" si="1"/>
        <v>0</v>
      </c>
      <c r="N21">
        <f t="shared" si="2"/>
        <v>1414.56</v>
      </c>
      <c r="O21">
        <f t="shared" si="3"/>
        <v>1049.26</v>
      </c>
      <c r="P21">
        <f t="shared" si="4"/>
        <v>365.29999999999995</v>
      </c>
      <c r="Q21">
        <f t="shared" si="5"/>
        <v>25.824284583191943</v>
      </c>
      <c r="R21" t="s">
        <v>50</v>
      </c>
      <c r="S21" t="s">
        <v>45</v>
      </c>
      <c r="T21">
        <v>3</v>
      </c>
    </row>
    <row r="22" spans="1:20">
      <c r="A22" t="s">
        <v>90</v>
      </c>
      <c r="B22" s="3">
        <v>45304</v>
      </c>
      <c r="C22" t="s">
        <v>19</v>
      </c>
      <c r="D22" t="s">
        <v>26</v>
      </c>
      <c r="E22" t="s">
        <v>68</v>
      </c>
      <c r="F22" t="s">
        <v>24</v>
      </c>
      <c r="G22" t="s">
        <v>46</v>
      </c>
      <c r="H22">
        <v>25</v>
      </c>
      <c r="I22">
        <v>1199.75</v>
      </c>
      <c r="J22">
        <v>693.01</v>
      </c>
      <c r="K22">
        <f t="shared" si="0"/>
        <v>29993.75</v>
      </c>
      <c r="L22">
        <v>0.1</v>
      </c>
      <c r="M22">
        <f t="shared" si="1"/>
        <v>2999.375</v>
      </c>
      <c r="N22">
        <f t="shared" si="2"/>
        <v>26994.375</v>
      </c>
      <c r="O22">
        <f t="shared" si="3"/>
        <v>17325.25</v>
      </c>
      <c r="P22">
        <f t="shared" si="4"/>
        <v>9669.125</v>
      </c>
      <c r="Q22">
        <f t="shared" si="5"/>
        <v>35.819036373318511</v>
      </c>
      <c r="R22" t="s">
        <v>51</v>
      </c>
      <c r="S22" t="s">
        <v>41</v>
      </c>
      <c r="T22">
        <v>4.5</v>
      </c>
    </row>
    <row r="23" spans="1:20">
      <c r="A23" t="s">
        <v>91</v>
      </c>
      <c r="B23" s="3">
        <v>45304</v>
      </c>
      <c r="C23" t="s">
        <v>19</v>
      </c>
      <c r="D23" t="s">
        <v>32</v>
      </c>
      <c r="E23" t="s">
        <v>68</v>
      </c>
      <c r="F23" t="s">
        <v>22</v>
      </c>
      <c r="G23" t="s">
        <v>42</v>
      </c>
      <c r="H23">
        <v>29</v>
      </c>
      <c r="I23">
        <v>793.62</v>
      </c>
      <c r="J23">
        <v>612.75</v>
      </c>
      <c r="K23">
        <f t="shared" si="0"/>
        <v>23014.98</v>
      </c>
      <c r="L23">
        <v>0</v>
      </c>
      <c r="M23">
        <f t="shared" si="1"/>
        <v>0</v>
      </c>
      <c r="N23">
        <f t="shared" si="2"/>
        <v>23014.98</v>
      </c>
      <c r="O23">
        <f t="shared" si="3"/>
        <v>17769.75</v>
      </c>
      <c r="P23">
        <f t="shared" si="4"/>
        <v>5245.23</v>
      </c>
      <c r="Q23">
        <f t="shared" si="5"/>
        <v>22.790504271565734</v>
      </c>
      <c r="R23" t="s">
        <v>50</v>
      </c>
      <c r="S23" t="s">
        <v>41</v>
      </c>
      <c r="T23">
        <v>4.0999999999999996</v>
      </c>
    </row>
    <row r="24" spans="1:20">
      <c r="A24" t="s">
        <v>92</v>
      </c>
      <c r="B24" s="3">
        <v>45304</v>
      </c>
      <c r="C24" t="s">
        <v>19</v>
      </c>
      <c r="D24" t="s">
        <v>28</v>
      </c>
      <c r="E24" t="s">
        <v>70</v>
      </c>
      <c r="F24" t="s">
        <v>23</v>
      </c>
      <c r="G24" t="s">
        <v>38</v>
      </c>
      <c r="H24">
        <v>35</v>
      </c>
      <c r="I24">
        <v>1025.92</v>
      </c>
      <c r="J24">
        <v>827.07</v>
      </c>
      <c r="K24">
        <f t="shared" si="0"/>
        <v>35907.200000000004</v>
      </c>
      <c r="L24">
        <v>0.2</v>
      </c>
      <c r="M24">
        <f t="shared" si="1"/>
        <v>7181.4400000000014</v>
      </c>
      <c r="N24">
        <f t="shared" si="2"/>
        <v>28725.760000000002</v>
      </c>
      <c r="O24">
        <f t="shared" si="3"/>
        <v>28947.45</v>
      </c>
      <c r="P24">
        <f t="shared" si="4"/>
        <v>-221.68999999999869</v>
      </c>
      <c r="Q24">
        <f t="shared" si="5"/>
        <v>-0.77174633499687617</v>
      </c>
      <c r="R24" t="s">
        <v>51</v>
      </c>
      <c r="S24" t="s">
        <v>43</v>
      </c>
      <c r="T24">
        <v>4.4000000000000004</v>
      </c>
    </row>
    <row r="25" spans="1:20">
      <c r="A25" t="s">
        <v>93</v>
      </c>
      <c r="B25" s="3">
        <v>45304</v>
      </c>
      <c r="C25" t="s">
        <v>19</v>
      </c>
      <c r="D25" t="s">
        <v>26</v>
      </c>
      <c r="E25" t="s">
        <v>70</v>
      </c>
      <c r="F25" t="s">
        <v>23</v>
      </c>
      <c r="G25" t="s">
        <v>37</v>
      </c>
      <c r="H25">
        <v>48</v>
      </c>
      <c r="I25">
        <v>1252.43</v>
      </c>
      <c r="J25">
        <v>995.74</v>
      </c>
      <c r="K25">
        <f t="shared" si="0"/>
        <v>60116.639999999999</v>
      </c>
      <c r="L25">
        <v>0.25</v>
      </c>
      <c r="M25">
        <f t="shared" si="1"/>
        <v>15029.16</v>
      </c>
      <c r="N25">
        <f t="shared" si="2"/>
        <v>45087.479999999996</v>
      </c>
      <c r="O25">
        <f t="shared" si="3"/>
        <v>47795.520000000004</v>
      </c>
      <c r="P25">
        <f t="shared" si="4"/>
        <v>-2708.0400000000081</v>
      </c>
      <c r="Q25">
        <f t="shared" si="5"/>
        <v>-6.0061906320779253</v>
      </c>
      <c r="R25" t="s">
        <v>49</v>
      </c>
      <c r="S25" t="s">
        <v>41</v>
      </c>
      <c r="T25">
        <v>3.7</v>
      </c>
    </row>
    <row r="26" spans="1:20">
      <c r="A26" t="s">
        <v>94</v>
      </c>
      <c r="B26" s="3">
        <v>45305</v>
      </c>
      <c r="C26" t="s">
        <v>19</v>
      </c>
      <c r="D26" t="s">
        <v>30</v>
      </c>
      <c r="E26" t="s">
        <v>70</v>
      </c>
      <c r="F26" t="s">
        <v>22</v>
      </c>
      <c r="G26" t="s">
        <v>33</v>
      </c>
      <c r="H26">
        <v>47</v>
      </c>
      <c r="I26">
        <v>892.65</v>
      </c>
      <c r="J26">
        <v>632.70000000000005</v>
      </c>
      <c r="K26">
        <f t="shared" si="0"/>
        <v>41954.549999999996</v>
      </c>
      <c r="L26">
        <v>0.2</v>
      </c>
      <c r="M26">
        <f t="shared" si="1"/>
        <v>8390.91</v>
      </c>
      <c r="N26">
        <f t="shared" si="2"/>
        <v>33563.64</v>
      </c>
      <c r="O26">
        <f t="shared" si="3"/>
        <v>29736.9</v>
      </c>
      <c r="P26">
        <f t="shared" si="4"/>
        <v>3826.739999999998</v>
      </c>
      <c r="Q26">
        <f t="shared" si="5"/>
        <v>11.401445135271377</v>
      </c>
      <c r="R26" t="s">
        <v>49</v>
      </c>
      <c r="S26" t="s">
        <v>41</v>
      </c>
      <c r="T26">
        <v>3.9</v>
      </c>
    </row>
    <row r="27" spans="1:20">
      <c r="A27" t="s">
        <v>95</v>
      </c>
      <c r="B27" s="3">
        <v>45305</v>
      </c>
      <c r="C27" t="s">
        <v>19</v>
      </c>
      <c r="D27" t="s">
        <v>30</v>
      </c>
      <c r="E27" t="s">
        <v>70</v>
      </c>
      <c r="F27" t="s">
        <v>24</v>
      </c>
      <c r="G27" t="s">
        <v>40</v>
      </c>
      <c r="H27">
        <v>31</v>
      </c>
      <c r="I27">
        <v>614.02</v>
      </c>
      <c r="J27">
        <v>333.39</v>
      </c>
      <c r="K27">
        <f t="shared" si="0"/>
        <v>19034.62</v>
      </c>
      <c r="L27">
        <v>0.05</v>
      </c>
      <c r="M27">
        <f t="shared" si="1"/>
        <v>951.73099999999999</v>
      </c>
      <c r="N27">
        <f t="shared" si="2"/>
        <v>18082.888999999999</v>
      </c>
      <c r="O27">
        <f t="shared" si="3"/>
        <v>10335.09</v>
      </c>
      <c r="P27">
        <f t="shared" si="4"/>
        <v>7747.7989999999991</v>
      </c>
      <c r="Q27">
        <f t="shared" si="5"/>
        <v>42.846024216595033</v>
      </c>
      <c r="R27" t="s">
        <v>49</v>
      </c>
      <c r="S27" t="s">
        <v>41</v>
      </c>
      <c r="T27">
        <v>3.6</v>
      </c>
    </row>
    <row r="28" spans="1:20">
      <c r="A28" t="s">
        <v>96</v>
      </c>
      <c r="B28" s="3">
        <v>45305</v>
      </c>
      <c r="C28" t="s">
        <v>19</v>
      </c>
      <c r="D28" t="s">
        <v>28</v>
      </c>
      <c r="E28" t="s">
        <v>68</v>
      </c>
      <c r="F28" t="s">
        <v>22</v>
      </c>
      <c r="G28" t="s">
        <v>33</v>
      </c>
      <c r="H28">
        <v>47</v>
      </c>
      <c r="I28">
        <v>142</v>
      </c>
      <c r="J28">
        <v>107.93</v>
      </c>
      <c r="K28">
        <f t="shared" si="0"/>
        <v>6674</v>
      </c>
      <c r="L28">
        <v>0.2</v>
      </c>
      <c r="M28">
        <f t="shared" si="1"/>
        <v>1334.8000000000002</v>
      </c>
      <c r="N28">
        <f t="shared" si="2"/>
        <v>5339.2</v>
      </c>
      <c r="O28">
        <f t="shared" si="3"/>
        <v>5072.71</v>
      </c>
      <c r="P28">
        <f t="shared" si="4"/>
        <v>266.48999999999978</v>
      </c>
      <c r="Q28">
        <f t="shared" si="5"/>
        <v>4.9911971830985875</v>
      </c>
      <c r="R28" t="s">
        <v>50</v>
      </c>
      <c r="S28" t="s">
        <v>47</v>
      </c>
      <c r="T28">
        <v>3.7</v>
      </c>
    </row>
    <row r="29" spans="1:20">
      <c r="A29" t="s">
        <v>97</v>
      </c>
      <c r="B29" s="3">
        <v>45305</v>
      </c>
      <c r="C29" t="s">
        <v>19</v>
      </c>
      <c r="D29" t="s">
        <v>32</v>
      </c>
      <c r="E29" t="s">
        <v>68</v>
      </c>
      <c r="F29" t="s">
        <v>24</v>
      </c>
      <c r="G29" t="s">
        <v>46</v>
      </c>
      <c r="H29">
        <v>7</v>
      </c>
      <c r="I29">
        <v>889.01</v>
      </c>
      <c r="J29">
        <v>530.88</v>
      </c>
      <c r="K29">
        <f t="shared" si="0"/>
        <v>6223.07</v>
      </c>
      <c r="L29">
        <v>0.15</v>
      </c>
      <c r="M29">
        <f t="shared" si="1"/>
        <v>933.46049999999991</v>
      </c>
      <c r="N29">
        <f t="shared" si="2"/>
        <v>5289.6094999999996</v>
      </c>
      <c r="O29">
        <f t="shared" si="3"/>
        <v>3716.16</v>
      </c>
      <c r="P29">
        <f t="shared" si="4"/>
        <v>1573.4494999999997</v>
      </c>
      <c r="Q29">
        <f t="shared" si="5"/>
        <v>29.746042689918788</v>
      </c>
      <c r="R29" t="s">
        <v>51</v>
      </c>
      <c r="S29" t="s">
        <v>43</v>
      </c>
      <c r="T29">
        <v>3</v>
      </c>
    </row>
    <row r="30" spans="1:20">
      <c r="A30" t="s">
        <v>98</v>
      </c>
      <c r="B30" s="3">
        <v>45306</v>
      </c>
      <c r="C30" t="s">
        <v>19</v>
      </c>
      <c r="D30" t="s">
        <v>30</v>
      </c>
      <c r="E30" t="s">
        <v>70</v>
      </c>
      <c r="F30" t="s">
        <v>20</v>
      </c>
      <c r="G30" t="s">
        <v>36</v>
      </c>
      <c r="H30">
        <v>4</v>
      </c>
      <c r="I30">
        <v>563.5</v>
      </c>
      <c r="J30">
        <v>254.64</v>
      </c>
      <c r="K30">
        <f t="shared" si="0"/>
        <v>2254</v>
      </c>
      <c r="L30">
        <v>0</v>
      </c>
      <c r="M30">
        <f t="shared" si="1"/>
        <v>0</v>
      </c>
      <c r="N30">
        <f t="shared" si="2"/>
        <v>2254</v>
      </c>
      <c r="O30">
        <f t="shared" si="3"/>
        <v>1018.56</v>
      </c>
      <c r="P30">
        <f t="shared" si="4"/>
        <v>1235.44</v>
      </c>
      <c r="Q30">
        <f t="shared" si="5"/>
        <v>54.811002661934339</v>
      </c>
      <c r="R30" t="s">
        <v>49</v>
      </c>
      <c r="S30" t="s">
        <v>43</v>
      </c>
      <c r="T30">
        <v>4.4000000000000004</v>
      </c>
    </row>
    <row r="31" spans="1:20">
      <c r="A31" t="s">
        <v>99</v>
      </c>
      <c r="B31" s="3">
        <v>45307</v>
      </c>
      <c r="C31" t="s">
        <v>19</v>
      </c>
      <c r="D31" t="s">
        <v>26</v>
      </c>
      <c r="E31" t="s">
        <v>68</v>
      </c>
      <c r="F31" t="s">
        <v>24</v>
      </c>
      <c r="G31" t="s">
        <v>40</v>
      </c>
      <c r="H31">
        <v>19</v>
      </c>
      <c r="I31">
        <v>886.61</v>
      </c>
      <c r="J31">
        <v>612.39</v>
      </c>
      <c r="K31">
        <f t="shared" si="0"/>
        <v>16845.59</v>
      </c>
      <c r="L31">
        <v>0.15</v>
      </c>
      <c r="M31">
        <f t="shared" si="1"/>
        <v>2526.8384999999998</v>
      </c>
      <c r="N31">
        <f t="shared" si="2"/>
        <v>14318.7515</v>
      </c>
      <c r="O31">
        <f t="shared" si="3"/>
        <v>11635.41</v>
      </c>
      <c r="P31">
        <f t="shared" si="4"/>
        <v>2683.3415000000005</v>
      </c>
      <c r="Q31">
        <f t="shared" si="5"/>
        <v>18.740052161670661</v>
      </c>
      <c r="R31" t="s">
        <v>50</v>
      </c>
      <c r="S31" t="s">
        <v>43</v>
      </c>
      <c r="T31">
        <v>4</v>
      </c>
    </row>
    <row r="32" spans="1:20">
      <c r="A32" t="s">
        <v>100</v>
      </c>
      <c r="B32" s="3">
        <v>45308</v>
      </c>
      <c r="C32" t="s">
        <v>19</v>
      </c>
      <c r="D32" t="s">
        <v>30</v>
      </c>
      <c r="E32" t="s">
        <v>70</v>
      </c>
      <c r="F32" t="s">
        <v>23</v>
      </c>
      <c r="G32" t="s">
        <v>44</v>
      </c>
      <c r="H32">
        <v>20</v>
      </c>
      <c r="I32">
        <v>130.33000000000001</v>
      </c>
      <c r="J32">
        <v>98.9</v>
      </c>
      <c r="K32">
        <f t="shared" si="0"/>
        <v>2606.6000000000004</v>
      </c>
      <c r="L32">
        <v>0</v>
      </c>
      <c r="M32">
        <f t="shared" si="1"/>
        <v>0</v>
      </c>
      <c r="N32">
        <f t="shared" si="2"/>
        <v>2606.6000000000004</v>
      </c>
      <c r="O32">
        <f t="shared" si="3"/>
        <v>1978</v>
      </c>
      <c r="P32">
        <f t="shared" si="4"/>
        <v>628.60000000000036</v>
      </c>
      <c r="Q32">
        <f t="shared" si="5"/>
        <v>24.115706284048198</v>
      </c>
      <c r="R32" t="s">
        <v>49</v>
      </c>
      <c r="S32" t="s">
        <v>41</v>
      </c>
      <c r="T32">
        <v>4.5999999999999996</v>
      </c>
    </row>
    <row r="33" spans="1:20">
      <c r="A33" t="s">
        <v>101</v>
      </c>
      <c r="B33" s="3">
        <v>45309</v>
      </c>
      <c r="C33" t="s">
        <v>19</v>
      </c>
      <c r="D33" t="s">
        <v>32</v>
      </c>
      <c r="E33" t="s">
        <v>68</v>
      </c>
      <c r="F33" t="s">
        <v>22</v>
      </c>
      <c r="G33" t="s">
        <v>35</v>
      </c>
      <c r="H33">
        <v>35</v>
      </c>
      <c r="I33">
        <v>1135.74</v>
      </c>
      <c r="J33">
        <v>869.86</v>
      </c>
      <c r="K33">
        <f t="shared" si="0"/>
        <v>39750.9</v>
      </c>
      <c r="L33">
        <v>0.05</v>
      </c>
      <c r="M33">
        <f t="shared" si="1"/>
        <v>1987.5450000000001</v>
      </c>
      <c r="N33">
        <f t="shared" si="2"/>
        <v>37763.355000000003</v>
      </c>
      <c r="O33">
        <f t="shared" si="3"/>
        <v>30445.100000000002</v>
      </c>
      <c r="P33">
        <f t="shared" si="4"/>
        <v>7318.255000000001</v>
      </c>
      <c r="Q33">
        <f t="shared" si="5"/>
        <v>19.379250069280126</v>
      </c>
      <c r="R33" t="s">
        <v>50</v>
      </c>
      <c r="S33" t="s">
        <v>41</v>
      </c>
      <c r="T33">
        <v>4</v>
      </c>
    </row>
    <row r="34" spans="1:20">
      <c r="A34" t="s">
        <v>102</v>
      </c>
      <c r="B34" s="3">
        <v>45309</v>
      </c>
      <c r="C34" t="s">
        <v>19</v>
      </c>
      <c r="D34" t="s">
        <v>28</v>
      </c>
      <c r="E34" t="s">
        <v>68</v>
      </c>
      <c r="F34" t="s">
        <v>23</v>
      </c>
      <c r="G34" t="s">
        <v>38</v>
      </c>
      <c r="H34">
        <v>27</v>
      </c>
      <c r="I34">
        <v>872.17</v>
      </c>
      <c r="J34">
        <v>732.83</v>
      </c>
      <c r="K34">
        <f t="shared" si="0"/>
        <v>23548.59</v>
      </c>
      <c r="L34">
        <v>0</v>
      </c>
      <c r="M34">
        <f t="shared" si="1"/>
        <v>0</v>
      </c>
      <c r="N34">
        <f t="shared" si="2"/>
        <v>23548.59</v>
      </c>
      <c r="O34">
        <f t="shared" si="3"/>
        <v>19786.41</v>
      </c>
      <c r="P34">
        <f t="shared" si="4"/>
        <v>3762.1800000000003</v>
      </c>
      <c r="Q34">
        <f t="shared" si="5"/>
        <v>15.976243163603426</v>
      </c>
      <c r="R34" t="s">
        <v>49</v>
      </c>
      <c r="S34" t="s">
        <v>45</v>
      </c>
      <c r="T34">
        <v>4.7</v>
      </c>
    </row>
    <row r="35" spans="1:20">
      <c r="A35" t="s">
        <v>103</v>
      </c>
      <c r="B35" s="3">
        <v>45313</v>
      </c>
      <c r="C35" t="s">
        <v>19</v>
      </c>
      <c r="D35" t="s">
        <v>30</v>
      </c>
      <c r="E35" t="s">
        <v>86</v>
      </c>
      <c r="F35" t="s">
        <v>20</v>
      </c>
      <c r="G35" t="s">
        <v>31</v>
      </c>
      <c r="H35">
        <v>1</v>
      </c>
      <c r="I35">
        <v>1031.82</v>
      </c>
      <c r="J35">
        <v>374.32</v>
      </c>
      <c r="K35">
        <f t="shared" si="0"/>
        <v>1031.82</v>
      </c>
      <c r="L35">
        <v>0</v>
      </c>
      <c r="M35">
        <f t="shared" si="1"/>
        <v>0</v>
      </c>
      <c r="N35">
        <f t="shared" si="2"/>
        <v>1031.82</v>
      </c>
      <c r="O35">
        <f t="shared" si="3"/>
        <v>374.32</v>
      </c>
      <c r="P35">
        <f t="shared" si="4"/>
        <v>657.5</v>
      </c>
      <c r="Q35">
        <f t="shared" si="5"/>
        <v>63.722354674264892</v>
      </c>
      <c r="R35" t="s">
        <v>51</v>
      </c>
      <c r="S35" t="s">
        <v>41</v>
      </c>
      <c r="T35">
        <v>3.1</v>
      </c>
    </row>
    <row r="36" spans="1:20">
      <c r="A36" t="s">
        <v>104</v>
      </c>
      <c r="B36" s="3">
        <v>45314</v>
      </c>
      <c r="C36" t="s">
        <v>19</v>
      </c>
      <c r="D36" t="s">
        <v>30</v>
      </c>
      <c r="E36" t="s">
        <v>68</v>
      </c>
      <c r="F36" t="s">
        <v>22</v>
      </c>
      <c r="G36" t="s">
        <v>35</v>
      </c>
      <c r="H36">
        <v>25</v>
      </c>
      <c r="I36">
        <v>788.47</v>
      </c>
      <c r="J36">
        <v>478.5</v>
      </c>
      <c r="K36">
        <f t="shared" si="0"/>
        <v>19711.75</v>
      </c>
      <c r="L36">
        <v>0</v>
      </c>
      <c r="M36">
        <f t="shared" si="1"/>
        <v>0</v>
      </c>
      <c r="N36">
        <f t="shared" si="2"/>
        <v>19711.75</v>
      </c>
      <c r="O36">
        <f t="shared" si="3"/>
        <v>11962.5</v>
      </c>
      <c r="P36">
        <f t="shared" si="4"/>
        <v>7749.25</v>
      </c>
      <c r="Q36">
        <f t="shared" si="5"/>
        <v>39.312846398721575</v>
      </c>
      <c r="R36" t="s">
        <v>50</v>
      </c>
      <c r="S36" t="s">
        <v>41</v>
      </c>
      <c r="T36">
        <v>4.8</v>
      </c>
    </row>
    <row r="37" spans="1:20">
      <c r="A37" t="s">
        <v>105</v>
      </c>
      <c r="B37" s="3">
        <v>45316</v>
      </c>
      <c r="C37" t="s">
        <v>19</v>
      </c>
      <c r="D37" t="s">
        <v>30</v>
      </c>
      <c r="E37" t="s">
        <v>86</v>
      </c>
      <c r="F37" t="s">
        <v>22</v>
      </c>
      <c r="G37" t="s">
        <v>35</v>
      </c>
      <c r="H37">
        <v>45</v>
      </c>
      <c r="I37">
        <v>1087.5899999999999</v>
      </c>
      <c r="J37">
        <v>694.23</v>
      </c>
      <c r="K37">
        <f t="shared" si="0"/>
        <v>48941.549999999996</v>
      </c>
      <c r="L37">
        <v>0.1</v>
      </c>
      <c r="M37">
        <f t="shared" si="1"/>
        <v>4894.1549999999997</v>
      </c>
      <c r="N37">
        <f t="shared" si="2"/>
        <v>44047.394999999997</v>
      </c>
      <c r="O37">
        <f t="shared" si="3"/>
        <v>31240.350000000002</v>
      </c>
      <c r="P37">
        <f t="shared" si="4"/>
        <v>12807.044999999995</v>
      </c>
      <c r="Q37">
        <f t="shared" si="5"/>
        <v>29.075601406167138</v>
      </c>
      <c r="R37" t="s">
        <v>49</v>
      </c>
      <c r="S37" t="s">
        <v>41</v>
      </c>
      <c r="T37">
        <v>4.8</v>
      </c>
    </row>
    <row r="38" spans="1:20">
      <c r="A38" t="s">
        <v>106</v>
      </c>
      <c r="B38" s="3">
        <v>45316</v>
      </c>
      <c r="C38" t="s">
        <v>19</v>
      </c>
      <c r="D38" t="s">
        <v>32</v>
      </c>
      <c r="E38" t="s">
        <v>86</v>
      </c>
      <c r="F38" t="s">
        <v>22</v>
      </c>
      <c r="G38" t="s">
        <v>35</v>
      </c>
      <c r="H38">
        <v>18</v>
      </c>
      <c r="I38">
        <v>1374.3</v>
      </c>
      <c r="J38">
        <v>1015.71</v>
      </c>
      <c r="K38">
        <f t="shared" si="0"/>
        <v>24737.399999999998</v>
      </c>
      <c r="L38">
        <v>0</v>
      </c>
      <c r="M38">
        <f t="shared" si="1"/>
        <v>0</v>
      </c>
      <c r="N38">
        <f t="shared" si="2"/>
        <v>24737.399999999998</v>
      </c>
      <c r="O38">
        <f t="shared" si="3"/>
        <v>18282.78</v>
      </c>
      <c r="P38">
        <f t="shared" si="4"/>
        <v>6454.619999999999</v>
      </c>
      <c r="Q38">
        <f t="shared" si="5"/>
        <v>26.092556210434402</v>
      </c>
      <c r="R38" t="s">
        <v>49</v>
      </c>
      <c r="S38" t="s">
        <v>41</v>
      </c>
      <c r="T38">
        <v>3</v>
      </c>
    </row>
    <row r="39" spans="1:20">
      <c r="A39" t="s">
        <v>107</v>
      </c>
      <c r="B39" s="3">
        <v>45316</v>
      </c>
      <c r="C39" t="s">
        <v>19</v>
      </c>
      <c r="D39" t="s">
        <v>32</v>
      </c>
      <c r="E39" t="s">
        <v>70</v>
      </c>
      <c r="F39" t="s">
        <v>22</v>
      </c>
      <c r="G39" t="s">
        <v>35</v>
      </c>
      <c r="H39">
        <v>23</v>
      </c>
      <c r="I39">
        <v>572.58000000000004</v>
      </c>
      <c r="J39">
        <v>446.88</v>
      </c>
      <c r="K39">
        <f t="shared" si="0"/>
        <v>13169.34</v>
      </c>
      <c r="L39">
        <v>0.1</v>
      </c>
      <c r="M39">
        <f t="shared" si="1"/>
        <v>1316.9340000000002</v>
      </c>
      <c r="N39">
        <f t="shared" si="2"/>
        <v>11852.405999999999</v>
      </c>
      <c r="O39">
        <f t="shared" si="3"/>
        <v>10278.24</v>
      </c>
      <c r="P39">
        <f t="shared" si="4"/>
        <v>1574.1659999999993</v>
      </c>
      <c r="Q39">
        <f t="shared" si="5"/>
        <v>13.281404636324467</v>
      </c>
      <c r="R39" t="s">
        <v>49</v>
      </c>
      <c r="S39" t="s">
        <v>47</v>
      </c>
      <c r="T39">
        <v>3.7</v>
      </c>
    </row>
    <row r="40" spans="1:20">
      <c r="A40" t="s">
        <v>108</v>
      </c>
      <c r="B40" s="3">
        <v>45316</v>
      </c>
      <c r="C40" t="s">
        <v>19</v>
      </c>
      <c r="D40" t="s">
        <v>26</v>
      </c>
      <c r="E40" t="s">
        <v>70</v>
      </c>
      <c r="F40" t="s">
        <v>20</v>
      </c>
      <c r="G40" t="s">
        <v>31</v>
      </c>
      <c r="H40">
        <v>31</v>
      </c>
      <c r="I40">
        <v>735.17</v>
      </c>
      <c r="J40">
        <v>315.35000000000002</v>
      </c>
      <c r="K40">
        <f t="shared" si="0"/>
        <v>22790.27</v>
      </c>
      <c r="L40">
        <v>0</v>
      </c>
      <c r="M40">
        <f t="shared" si="1"/>
        <v>0</v>
      </c>
      <c r="N40">
        <f t="shared" si="2"/>
        <v>22790.27</v>
      </c>
      <c r="O40">
        <f t="shared" si="3"/>
        <v>9775.85</v>
      </c>
      <c r="P40">
        <f t="shared" si="4"/>
        <v>13014.42</v>
      </c>
      <c r="Q40">
        <f t="shared" si="5"/>
        <v>57.105159350898425</v>
      </c>
      <c r="R40" t="s">
        <v>49</v>
      </c>
      <c r="S40" t="s">
        <v>41</v>
      </c>
      <c r="T40">
        <v>3.6</v>
      </c>
    </row>
    <row r="41" spans="1:20">
      <c r="A41" t="s">
        <v>109</v>
      </c>
      <c r="B41" s="3">
        <v>45317</v>
      </c>
      <c r="C41" t="s">
        <v>19</v>
      </c>
      <c r="D41" t="s">
        <v>30</v>
      </c>
      <c r="E41" t="s">
        <v>68</v>
      </c>
      <c r="F41" t="s">
        <v>20</v>
      </c>
      <c r="G41" t="s">
        <v>34</v>
      </c>
      <c r="H41">
        <v>37</v>
      </c>
      <c r="I41">
        <v>958.22</v>
      </c>
      <c r="J41">
        <v>469.49</v>
      </c>
      <c r="K41">
        <f t="shared" si="0"/>
        <v>35454.14</v>
      </c>
      <c r="L41">
        <v>0</v>
      </c>
      <c r="M41">
        <f t="shared" si="1"/>
        <v>0</v>
      </c>
      <c r="N41">
        <f t="shared" si="2"/>
        <v>35454.14</v>
      </c>
      <c r="O41">
        <f t="shared" si="3"/>
        <v>17371.13</v>
      </c>
      <c r="P41">
        <f t="shared" si="4"/>
        <v>18083.009999999998</v>
      </c>
      <c r="Q41">
        <f t="shared" si="5"/>
        <v>51.003944814343264</v>
      </c>
      <c r="R41" t="s">
        <v>49</v>
      </c>
      <c r="S41" t="s">
        <v>43</v>
      </c>
      <c r="T41">
        <v>4.2</v>
      </c>
    </row>
    <row r="42" spans="1:20">
      <c r="A42" t="s">
        <v>110</v>
      </c>
      <c r="B42" s="3">
        <v>45318</v>
      </c>
      <c r="C42" t="s">
        <v>19</v>
      </c>
      <c r="D42" t="s">
        <v>30</v>
      </c>
      <c r="E42" t="s">
        <v>86</v>
      </c>
      <c r="F42" t="s">
        <v>20</v>
      </c>
      <c r="G42" t="s">
        <v>31</v>
      </c>
      <c r="H42">
        <v>42</v>
      </c>
      <c r="I42">
        <v>1081.71</v>
      </c>
      <c r="J42">
        <v>616.02</v>
      </c>
      <c r="K42">
        <f t="shared" si="0"/>
        <v>45431.82</v>
      </c>
      <c r="L42">
        <v>0.05</v>
      </c>
      <c r="M42">
        <f t="shared" si="1"/>
        <v>2271.5909999999999</v>
      </c>
      <c r="N42">
        <f t="shared" si="2"/>
        <v>43160.228999999999</v>
      </c>
      <c r="O42">
        <f t="shared" si="3"/>
        <v>25872.84</v>
      </c>
      <c r="P42">
        <f t="shared" si="4"/>
        <v>17287.388999999999</v>
      </c>
      <c r="Q42">
        <f t="shared" si="5"/>
        <v>40.053978860955532</v>
      </c>
      <c r="R42" t="s">
        <v>51</v>
      </c>
      <c r="S42" t="s">
        <v>41</v>
      </c>
      <c r="T42">
        <v>4.5999999999999996</v>
      </c>
    </row>
    <row r="43" spans="1:20">
      <c r="A43" t="s">
        <v>111</v>
      </c>
      <c r="B43" s="3">
        <v>45319</v>
      </c>
      <c r="C43" t="s">
        <v>19</v>
      </c>
      <c r="D43" t="s">
        <v>30</v>
      </c>
      <c r="E43" t="s">
        <v>68</v>
      </c>
      <c r="F43" t="s">
        <v>20</v>
      </c>
      <c r="G43" t="s">
        <v>31</v>
      </c>
      <c r="H43">
        <v>16</v>
      </c>
      <c r="I43">
        <v>912.15</v>
      </c>
      <c r="J43">
        <v>434.37</v>
      </c>
      <c r="K43">
        <f t="shared" si="0"/>
        <v>14594.4</v>
      </c>
      <c r="L43">
        <v>0.15</v>
      </c>
      <c r="M43">
        <f t="shared" si="1"/>
        <v>2189.16</v>
      </c>
      <c r="N43">
        <f t="shared" si="2"/>
        <v>12405.24</v>
      </c>
      <c r="O43">
        <f t="shared" si="3"/>
        <v>6949.92</v>
      </c>
      <c r="P43">
        <f t="shared" si="4"/>
        <v>5455.32</v>
      </c>
      <c r="Q43">
        <f t="shared" si="5"/>
        <v>43.975932750998773</v>
      </c>
      <c r="R43" t="s">
        <v>50</v>
      </c>
      <c r="S43" t="s">
        <v>47</v>
      </c>
      <c r="T43">
        <v>4.4000000000000004</v>
      </c>
    </row>
    <row r="44" spans="1:20">
      <c r="A44" t="s">
        <v>112</v>
      </c>
      <c r="B44" s="3">
        <v>45320</v>
      </c>
      <c r="C44" t="s">
        <v>19</v>
      </c>
      <c r="D44" t="s">
        <v>32</v>
      </c>
      <c r="E44" t="s">
        <v>68</v>
      </c>
      <c r="F44" t="s">
        <v>22</v>
      </c>
      <c r="G44" t="s">
        <v>33</v>
      </c>
      <c r="H44">
        <v>14</v>
      </c>
      <c r="I44">
        <v>1234.67</v>
      </c>
      <c r="J44">
        <v>979.24</v>
      </c>
      <c r="K44">
        <f t="shared" si="0"/>
        <v>17285.38</v>
      </c>
      <c r="L44">
        <v>0</v>
      </c>
      <c r="M44">
        <f t="shared" si="1"/>
        <v>0</v>
      </c>
      <c r="N44">
        <f t="shared" si="2"/>
        <v>17285.38</v>
      </c>
      <c r="O44">
        <f t="shared" si="3"/>
        <v>13709.36</v>
      </c>
      <c r="P44">
        <f t="shared" si="4"/>
        <v>3576.0200000000004</v>
      </c>
      <c r="Q44">
        <f t="shared" si="5"/>
        <v>20.688119092551048</v>
      </c>
      <c r="R44" t="s">
        <v>50</v>
      </c>
      <c r="S44" t="s">
        <v>41</v>
      </c>
      <c r="T44">
        <v>3.9</v>
      </c>
    </row>
    <row r="45" spans="1:20">
      <c r="A45" t="s">
        <v>113</v>
      </c>
      <c r="B45" s="3">
        <v>45320</v>
      </c>
      <c r="C45" t="s">
        <v>19</v>
      </c>
      <c r="D45" t="s">
        <v>30</v>
      </c>
      <c r="E45" t="s">
        <v>70</v>
      </c>
      <c r="F45" t="s">
        <v>23</v>
      </c>
      <c r="G45" t="s">
        <v>38</v>
      </c>
      <c r="H45">
        <v>20</v>
      </c>
      <c r="I45">
        <v>997.73</v>
      </c>
      <c r="J45">
        <v>711.98</v>
      </c>
      <c r="K45">
        <f t="shared" si="0"/>
        <v>19954.599999999999</v>
      </c>
      <c r="L45">
        <v>0.1</v>
      </c>
      <c r="M45">
        <f t="shared" si="1"/>
        <v>1995.46</v>
      </c>
      <c r="N45">
        <f t="shared" si="2"/>
        <v>17959.14</v>
      </c>
      <c r="O45">
        <f t="shared" si="3"/>
        <v>14239.6</v>
      </c>
      <c r="P45">
        <f t="shared" si="4"/>
        <v>3719.5399999999991</v>
      </c>
      <c r="Q45">
        <f t="shared" si="5"/>
        <v>20.711125365691228</v>
      </c>
      <c r="R45" t="s">
        <v>49</v>
      </c>
      <c r="S45" t="s">
        <v>41</v>
      </c>
      <c r="T45">
        <v>4.5999999999999996</v>
      </c>
    </row>
    <row r="46" spans="1:20">
      <c r="A46" t="s">
        <v>114</v>
      </c>
      <c r="B46" s="3">
        <v>45321</v>
      </c>
      <c r="C46" t="s">
        <v>19</v>
      </c>
      <c r="D46" t="s">
        <v>28</v>
      </c>
      <c r="E46" t="s">
        <v>68</v>
      </c>
      <c r="F46" t="s">
        <v>20</v>
      </c>
      <c r="G46" t="s">
        <v>34</v>
      </c>
      <c r="H46">
        <v>6</v>
      </c>
      <c r="I46">
        <v>1412.76</v>
      </c>
      <c r="J46">
        <v>756.26</v>
      </c>
      <c r="K46">
        <f t="shared" si="0"/>
        <v>8476.56</v>
      </c>
      <c r="L46">
        <v>0.2</v>
      </c>
      <c r="M46">
        <f t="shared" si="1"/>
        <v>1695.3119999999999</v>
      </c>
      <c r="N46">
        <f t="shared" si="2"/>
        <v>6781.2479999999996</v>
      </c>
      <c r="O46">
        <f t="shared" si="3"/>
        <v>4537.5599999999995</v>
      </c>
      <c r="P46">
        <f t="shared" si="4"/>
        <v>2243.6880000000001</v>
      </c>
      <c r="Q46">
        <f t="shared" si="5"/>
        <v>33.086653076247913</v>
      </c>
      <c r="R46" t="s">
        <v>51</v>
      </c>
      <c r="S46" t="s">
        <v>45</v>
      </c>
      <c r="T46">
        <v>3.8</v>
      </c>
    </row>
    <row r="47" spans="1:20">
      <c r="A47" t="s">
        <v>115</v>
      </c>
      <c r="B47" s="3">
        <v>45322</v>
      </c>
      <c r="C47" t="s">
        <v>19</v>
      </c>
      <c r="D47" t="s">
        <v>32</v>
      </c>
      <c r="E47" t="s">
        <v>68</v>
      </c>
      <c r="F47" t="s">
        <v>22</v>
      </c>
      <c r="G47" t="s">
        <v>33</v>
      </c>
      <c r="H47">
        <v>14</v>
      </c>
      <c r="I47">
        <v>14.97</v>
      </c>
      <c r="J47">
        <v>9.99</v>
      </c>
      <c r="K47">
        <f t="shared" si="0"/>
        <v>209.58</v>
      </c>
      <c r="L47">
        <v>0.1</v>
      </c>
      <c r="M47">
        <f t="shared" si="1"/>
        <v>20.958000000000002</v>
      </c>
      <c r="N47">
        <f t="shared" si="2"/>
        <v>188.62200000000001</v>
      </c>
      <c r="O47">
        <f t="shared" si="3"/>
        <v>139.86000000000001</v>
      </c>
      <c r="P47">
        <f t="shared" si="4"/>
        <v>48.762</v>
      </c>
      <c r="Q47">
        <f t="shared" si="5"/>
        <v>25.851703406813627</v>
      </c>
      <c r="R47" t="s">
        <v>50</v>
      </c>
      <c r="S47" t="s">
        <v>45</v>
      </c>
      <c r="T47">
        <v>4.3</v>
      </c>
    </row>
    <row r="48" spans="1:20">
      <c r="A48" t="s">
        <v>116</v>
      </c>
      <c r="B48" s="3">
        <v>45323</v>
      </c>
      <c r="C48" t="s">
        <v>19</v>
      </c>
      <c r="D48" t="s">
        <v>30</v>
      </c>
      <c r="E48" t="s">
        <v>68</v>
      </c>
      <c r="F48" t="s">
        <v>24</v>
      </c>
      <c r="G48" t="s">
        <v>40</v>
      </c>
      <c r="H48">
        <v>36</v>
      </c>
      <c r="I48">
        <v>188.37</v>
      </c>
      <c r="J48">
        <v>120.12</v>
      </c>
      <c r="K48">
        <f t="shared" si="0"/>
        <v>6781.32</v>
      </c>
      <c r="L48">
        <v>0</v>
      </c>
      <c r="M48">
        <f t="shared" si="1"/>
        <v>0</v>
      </c>
      <c r="N48">
        <f t="shared" si="2"/>
        <v>6781.32</v>
      </c>
      <c r="O48">
        <f t="shared" si="3"/>
        <v>4324.32</v>
      </c>
      <c r="P48">
        <f t="shared" si="4"/>
        <v>2457</v>
      </c>
      <c r="Q48">
        <f t="shared" si="5"/>
        <v>36.231884057971016</v>
      </c>
      <c r="R48" t="s">
        <v>49</v>
      </c>
      <c r="S48" t="s">
        <v>41</v>
      </c>
      <c r="T48">
        <v>3.4</v>
      </c>
    </row>
    <row r="49" spans="1:20">
      <c r="A49" t="s">
        <v>117</v>
      </c>
      <c r="B49" s="3">
        <v>45323</v>
      </c>
      <c r="C49" t="s">
        <v>19</v>
      </c>
      <c r="D49" t="s">
        <v>28</v>
      </c>
      <c r="E49" t="s">
        <v>68</v>
      </c>
      <c r="F49" t="s">
        <v>24</v>
      </c>
      <c r="G49" t="s">
        <v>29</v>
      </c>
      <c r="H49">
        <v>16</v>
      </c>
      <c r="I49">
        <v>1491.64</v>
      </c>
      <c r="J49">
        <v>889</v>
      </c>
      <c r="K49">
        <f t="shared" si="0"/>
        <v>23866.240000000002</v>
      </c>
      <c r="L49">
        <v>0</v>
      </c>
      <c r="M49">
        <f t="shared" si="1"/>
        <v>0</v>
      </c>
      <c r="N49">
        <f t="shared" si="2"/>
        <v>23866.240000000002</v>
      </c>
      <c r="O49">
        <f t="shared" si="3"/>
        <v>14224</v>
      </c>
      <c r="P49">
        <f t="shared" si="4"/>
        <v>9642.2400000000016</v>
      </c>
      <c r="Q49">
        <f t="shared" si="5"/>
        <v>40.401169182912774</v>
      </c>
      <c r="R49" t="s">
        <v>50</v>
      </c>
      <c r="S49" t="s">
        <v>41</v>
      </c>
      <c r="T49">
        <v>3.7</v>
      </c>
    </row>
    <row r="50" spans="1:20">
      <c r="A50" t="s">
        <v>118</v>
      </c>
      <c r="B50" s="3">
        <v>45325</v>
      </c>
      <c r="C50" t="s">
        <v>19</v>
      </c>
      <c r="D50" t="s">
        <v>32</v>
      </c>
      <c r="E50" t="s">
        <v>86</v>
      </c>
      <c r="F50" t="s">
        <v>24</v>
      </c>
      <c r="G50" t="s">
        <v>46</v>
      </c>
      <c r="H50">
        <v>8</v>
      </c>
      <c r="I50">
        <v>1359.68</v>
      </c>
      <c r="J50">
        <v>803.11</v>
      </c>
      <c r="K50">
        <f t="shared" si="0"/>
        <v>10877.44</v>
      </c>
      <c r="L50">
        <v>0.2</v>
      </c>
      <c r="M50">
        <f t="shared" si="1"/>
        <v>2175.4880000000003</v>
      </c>
      <c r="N50">
        <f t="shared" si="2"/>
        <v>8701.9520000000011</v>
      </c>
      <c r="O50">
        <f t="shared" si="3"/>
        <v>6424.88</v>
      </c>
      <c r="P50">
        <f t="shared" si="4"/>
        <v>2277.072000000001</v>
      </c>
      <c r="Q50">
        <f t="shared" si="5"/>
        <v>26.167370263591444</v>
      </c>
      <c r="R50" t="s">
        <v>50</v>
      </c>
      <c r="S50" t="s">
        <v>41</v>
      </c>
      <c r="T50">
        <v>4</v>
      </c>
    </row>
    <row r="51" spans="1:20">
      <c r="A51" t="s">
        <v>119</v>
      </c>
      <c r="B51" s="3">
        <v>45326</v>
      </c>
      <c r="C51" t="s">
        <v>19</v>
      </c>
      <c r="D51" t="s">
        <v>26</v>
      </c>
      <c r="E51" t="s">
        <v>68</v>
      </c>
      <c r="F51" t="s">
        <v>24</v>
      </c>
      <c r="G51" t="s">
        <v>40</v>
      </c>
      <c r="H51">
        <v>18</v>
      </c>
      <c r="I51">
        <v>193.1</v>
      </c>
      <c r="J51">
        <v>128.03</v>
      </c>
      <c r="K51">
        <f t="shared" si="0"/>
        <v>3475.7999999999997</v>
      </c>
      <c r="L51">
        <v>0</v>
      </c>
      <c r="M51">
        <f t="shared" si="1"/>
        <v>0</v>
      </c>
      <c r="N51">
        <f t="shared" si="2"/>
        <v>3475.7999999999997</v>
      </c>
      <c r="O51">
        <f t="shared" si="3"/>
        <v>2304.54</v>
      </c>
      <c r="P51">
        <f t="shared" si="4"/>
        <v>1171.2599999999998</v>
      </c>
      <c r="Q51">
        <f t="shared" si="5"/>
        <v>33.697566027964783</v>
      </c>
      <c r="R51" t="s">
        <v>49</v>
      </c>
      <c r="S51" t="s">
        <v>41</v>
      </c>
      <c r="T51">
        <v>4.4000000000000004</v>
      </c>
    </row>
    <row r="52" spans="1:20">
      <c r="A52" t="s">
        <v>120</v>
      </c>
      <c r="B52" s="3">
        <v>45326</v>
      </c>
      <c r="C52" t="s">
        <v>19</v>
      </c>
      <c r="D52" t="s">
        <v>32</v>
      </c>
      <c r="E52" t="s">
        <v>86</v>
      </c>
      <c r="F52" t="s">
        <v>22</v>
      </c>
      <c r="G52" t="s">
        <v>42</v>
      </c>
      <c r="H52">
        <v>12</v>
      </c>
      <c r="I52">
        <v>502.94</v>
      </c>
      <c r="J52">
        <v>304.82</v>
      </c>
      <c r="K52">
        <f t="shared" si="0"/>
        <v>6035.28</v>
      </c>
      <c r="L52">
        <v>0.2</v>
      </c>
      <c r="M52">
        <f t="shared" si="1"/>
        <v>1207.056</v>
      </c>
      <c r="N52">
        <f t="shared" si="2"/>
        <v>4828.2240000000002</v>
      </c>
      <c r="O52">
        <f t="shared" si="3"/>
        <v>3657.84</v>
      </c>
      <c r="P52">
        <f t="shared" si="4"/>
        <v>1170.384</v>
      </c>
      <c r="Q52">
        <f t="shared" si="5"/>
        <v>24.24046605956973</v>
      </c>
      <c r="R52" t="s">
        <v>49</v>
      </c>
      <c r="S52" t="s">
        <v>41</v>
      </c>
      <c r="T52">
        <v>3.7</v>
      </c>
    </row>
    <row r="53" spans="1:20">
      <c r="A53" t="s">
        <v>121</v>
      </c>
      <c r="B53" s="3">
        <v>45328</v>
      </c>
      <c r="C53" t="s">
        <v>19</v>
      </c>
      <c r="D53" t="s">
        <v>26</v>
      </c>
      <c r="E53" t="s">
        <v>70</v>
      </c>
      <c r="F53" t="s">
        <v>23</v>
      </c>
      <c r="G53" t="s">
        <v>38</v>
      </c>
      <c r="H53">
        <v>33</v>
      </c>
      <c r="I53">
        <v>1098.96</v>
      </c>
      <c r="J53">
        <v>806.34</v>
      </c>
      <c r="K53">
        <f t="shared" si="0"/>
        <v>36265.68</v>
      </c>
      <c r="L53">
        <v>0.05</v>
      </c>
      <c r="M53">
        <f t="shared" si="1"/>
        <v>1813.2840000000001</v>
      </c>
      <c r="N53">
        <f t="shared" si="2"/>
        <v>34452.396000000001</v>
      </c>
      <c r="O53">
        <f t="shared" si="3"/>
        <v>26609.22</v>
      </c>
      <c r="P53">
        <f t="shared" si="4"/>
        <v>7843.1759999999995</v>
      </c>
      <c r="Q53">
        <f t="shared" si="5"/>
        <v>22.765255571775032</v>
      </c>
      <c r="R53" t="s">
        <v>49</v>
      </c>
      <c r="S53" t="s">
        <v>43</v>
      </c>
      <c r="T53">
        <v>3.7</v>
      </c>
    </row>
    <row r="54" spans="1:20">
      <c r="A54" t="s">
        <v>122</v>
      </c>
      <c r="B54" s="3">
        <v>45328</v>
      </c>
      <c r="C54" t="s">
        <v>19</v>
      </c>
      <c r="D54" t="s">
        <v>32</v>
      </c>
      <c r="E54" t="s">
        <v>70</v>
      </c>
      <c r="F54" t="s">
        <v>23</v>
      </c>
      <c r="G54" t="s">
        <v>38</v>
      </c>
      <c r="H54">
        <v>12</v>
      </c>
      <c r="I54">
        <v>209.16</v>
      </c>
      <c r="J54">
        <v>148.31</v>
      </c>
      <c r="K54">
        <f t="shared" si="0"/>
        <v>2509.92</v>
      </c>
      <c r="L54">
        <v>0.2</v>
      </c>
      <c r="M54">
        <f t="shared" si="1"/>
        <v>501.98400000000004</v>
      </c>
      <c r="N54">
        <f t="shared" si="2"/>
        <v>2007.9360000000001</v>
      </c>
      <c r="O54">
        <f t="shared" si="3"/>
        <v>1779.72</v>
      </c>
      <c r="P54">
        <f t="shared" si="4"/>
        <v>228.21600000000012</v>
      </c>
      <c r="Q54">
        <f t="shared" si="5"/>
        <v>11.365700898833433</v>
      </c>
      <c r="R54" t="s">
        <v>49</v>
      </c>
      <c r="S54" t="s">
        <v>41</v>
      </c>
      <c r="T54">
        <v>3.1</v>
      </c>
    </row>
    <row r="55" spans="1:20">
      <c r="A55" t="s">
        <v>123</v>
      </c>
      <c r="B55" s="3">
        <v>45328</v>
      </c>
      <c r="C55" t="s">
        <v>19</v>
      </c>
      <c r="D55" t="s">
        <v>26</v>
      </c>
      <c r="E55" t="s">
        <v>68</v>
      </c>
      <c r="F55" t="s">
        <v>20</v>
      </c>
      <c r="G55" t="s">
        <v>36</v>
      </c>
      <c r="H55">
        <v>42</v>
      </c>
      <c r="I55">
        <v>1023.61</v>
      </c>
      <c r="J55">
        <v>385.18</v>
      </c>
      <c r="K55">
        <f t="shared" si="0"/>
        <v>42991.62</v>
      </c>
      <c r="L55">
        <v>0.15</v>
      </c>
      <c r="M55">
        <f t="shared" si="1"/>
        <v>6448.7430000000004</v>
      </c>
      <c r="N55">
        <f t="shared" si="2"/>
        <v>36542.877</v>
      </c>
      <c r="O55">
        <f t="shared" si="3"/>
        <v>16177.56</v>
      </c>
      <c r="P55">
        <f t="shared" si="4"/>
        <v>20365.317000000003</v>
      </c>
      <c r="Q55">
        <f t="shared" si="5"/>
        <v>55.729922414154757</v>
      </c>
      <c r="R55" t="s">
        <v>51</v>
      </c>
      <c r="S55" t="s">
        <v>41</v>
      </c>
      <c r="T55">
        <v>4.5</v>
      </c>
    </row>
    <row r="56" spans="1:20">
      <c r="A56" t="s">
        <v>124</v>
      </c>
      <c r="B56" s="3">
        <v>45330</v>
      </c>
      <c r="C56" t="s">
        <v>19</v>
      </c>
      <c r="D56" t="s">
        <v>32</v>
      </c>
      <c r="E56" t="s">
        <v>70</v>
      </c>
      <c r="F56" t="s">
        <v>22</v>
      </c>
      <c r="G56" t="s">
        <v>35</v>
      </c>
      <c r="H56">
        <v>27</v>
      </c>
      <c r="I56">
        <v>192.78</v>
      </c>
      <c r="J56">
        <v>131.16999999999999</v>
      </c>
      <c r="K56">
        <f t="shared" si="0"/>
        <v>5205.0600000000004</v>
      </c>
      <c r="L56">
        <v>0.25</v>
      </c>
      <c r="M56">
        <f t="shared" si="1"/>
        <v>1301.2650000000001</v>
      </c>
      <c r="N56">
        <f t="shared" si="2"/>
        <v>3903.7950000000001</v>
      </c>
      <c r="O56">
        <f t="shared" si="3"/>
        <v>3541.5899999999997</v>
      </c>
      <c r="P56">
        <f t="shared" si="4"/>
        <v>362.20500000000038</v>
      </c>
      <c r="Q56">
        <f t="shared" si="5"/>
        <v>9.2782792129197453</v>
      </c>
      <c r="R56" t="s">
        <v>50</v>
      </c>
      <c r="S56" t="s">
        <v>43</v>
      </c>
      <c r="T56">
        <v>4.4000000000000004</v>
      </c>
    </row>
    <row r="57" spans="1:20">
      <c r="A57" t="s">
        <v>125</v>
      </c>
      <c r="B57" s="3">
        <v>45331</v>
      </c>
      <c r="C57" t="s">
        <v>19</v>
      </c>
      <c r="D57" t="s">
        <v>32</v>
      </c>
      <c r="E57" t="s">
        <v>68</v>
      </c>
      <c r="F57" t="s">
        <v>20</v>
      </c>
      <c r="G57" t="s">
        <v>31</v>
      </c>
      <c r="H57">
        <v>7</v>
      </c>
      <c r="I57">
        <v>832.61</v>
      </c>
      <c r="J57">
        <v>307.68</v>
      </c>
      <c r="K57">
        <f t="shared" si="0"/>
        <v>5828.27</v>
      </c>
      <c r="L57">
        <v>0</v>
      </c>
      <c r="M57">
        <f t="shared" si="1"/>
        <v>0</v>
      </c>
      <c r="N57">
        <f t="shared" si="2"/>
        <v>5828.27</v>
      </c>
      <c r="O57">
        <f t="shared" si="3"/>
        <v>2153.7600000000002</v>
      </c>
      <c r="P57">
        <f t="shared" si="4"/>
        <v>3674.51</v>
      </c>
      <c r="Q57">
        <f t="shared" si="5"/>
        <v>63.046324209413775</v>
      </c>
      <c r="R57" t="s">
        <v>50</v>
      </c>
      <c r="S57" t="s">
        <v>47</v>
      </c>
      <c r="T57">
        <v>3.2</v>
      </c>
    </row>
    <row r="58" spans="1:20">
      <c r="A58" t="s">
        <v>126</v>
      </c>
      <c r="B58" s="3">
        <v>45331</v>
      </c>
      <c r="C58" t="s">
        <v>19</v>
      </c>
      <c r="D58" t="s">
        <v>26</v>
      </c>
      <c r="E58" t="s">
        <v>70</v>
      </c>
      <c r="F58" t="s">
        <v>20</v>
      </c>
      <c r="G58" t="s">
        <v>34</v>
      </c>
      <c r="H58">
        <v>43</v>
      </c>
      <c r="I58">
        <v>1437.83</v>
      </c>
      <c r="J58">
        <v>830.89</v>
      </c>
      <c r="K58">
        <f t="shared" si="0"/>
        <v>61826.689999999995</v>
      </c>
      <c r="L58">
        <v>0.15</v>
      </c>
      <c r="M58">
        <f t="shared" si="1"/>
        <v>9274.0034999999989</v>
      </c>
      <c r="N58">
        <f t="shared" si="2"/>
        <v>52552.686499999996</v>
      </c>
      <c r="O58">
        <f t="shared" si="3"/>
        <v>35728.269999999997</v>
      </c>
      <c r="P58">
        <f t="shared" si="4"/>
        <v>16824.416499999999</v>
      </c>
      <c r="Q58">
        <f t="shared" si="5"/>
        <v>32.014379512263375</v>
      </c>
      <c r="R58" t="s">
        <v>49</v>
      </c>
      <c r="S58" t="s">
        <v>43</v>
      </c>
      <c r="T58">
        <v>4</v>
      </c>
    </row>
    <row r="59" spans="1:20">
      <c r="A59" t="s">
        <v>127</v>
      </c>
      <c r="B59" s="3">
        <v>45331</v>
      </c>
      <c r="C59" t="s">
        <v>19</v>
      </c>
      <c r="D59" t="s">
        <v>28</v>
      </c>
      <c r="E59" t="s">
        <v>68</v>
      </c>
      <c r="F59" t="s">
        <v>20</v>
      </c>
      <c r="G59" t="s">
        <v>34</v>
      </c>
      <c r="H59">
        <v>47</v>
      </c>
      <c r="I59">
        <v>614.63</v>
      </c>
      <c r="J59">
        <v>338.66</v>
      </c>
      <c r="K59">
        <f t="shared" si="0"/>
        <v>28887.61</v>
      </c>
      <c r="L59">
        <v>0.05</v>
      </c>
      <c r="M59">
        <f t="shared" si="1"/>
        <v>1444.3805000000002</v>
      </c>
      <c r="N59">
        <f t="shared" si="2"/>
        <v>27443.229500000001</v>
      </c>
      <c r="O59">
        <f t="shared" si="3"/>
        <v>15917.02</v>
      </c>
      <c r="P59">
        <f t="shared" si="4"/>
        <v>11526.209500000001</v>
      </c>
      <c r="Q59">
        <f t="shared" si="5"/>
        <v>42.000193526785907</v>
      </c>
      <c r="R59" t="s">
        <v>49</v>
      </c>
      <c r="S59" t="s">
        <v>41</v>
      </c>
      <c r="T59">
        <v>4.3</v>
      </c>
    </row>
    <row r="60" spans="1:20">
      <c r="A60" t="s">
        <v>128</v>
      </c>
      <c r="B60" s="3">
        <v>45332</v>
      </c>
      <c r="C60" t="s">
        <v>19</v>
      </c>
      <c r="D60" t="s">
        <v>26</v>
      </c>
      <c r="E60" t="s">
        <v>86</v>
      </c>
      <c r="F60" t="s">
        <v>23</v>
      </c>
      <c r="G60" t="s">
        <v>44</v>
      </c>
      <c r="H60">
        <v>42</v>
      </c>
      <c r="I60">
        <v>450.26</v>
      </c>
      <c r="J60">
        <v>379.67</v>
      </c>
      <c r="K60">
        <f t="shared" si="0"/>
        <v>18910.919999999998</v>
      </c>
      <c r="L60">
        <v>0.05</v>
      </c>
      <c r="M60">
        <f t="shared" si="1"/>
        <v>945.54599999999994</v>
      </c>
      <c r="N60">
        <f t="shared" si="2"/>
        <v>17965.374</v>
      </c>
      <c r="O60">
        <f t="shared" si="3"/>
        <v>15946.140000000001</v>
      </c>
      <c r="P60">
        <f t="shared" si="4"/>
        <v>2019.2339999999986</v>
      </c>
      <c r="Q60">
        <f t="shared" si="5"/>
        <v>11.239587887232398</v>
      </c>
      <c r="R60" t="s">
        <v>50</v>
      </c>
      <c r="S60" t="s">
        <v>41</v>
      </c>
      <c r="T60">
        <v>4.3</v>
      </c>
    </row>
    <row r="61" spans="1:20">
      <c r="A61" t="s">
        <v>129</v>
      </c>
      <c r="B61" s="3">
        <v>45332</v>
      </c>
      <c r="C61" t="s">
        <v>19</v>
      </c>
      <c r="D61" t="s">
        <v>28</v>
      </c>
      <c r="E61" t="s">
        <v>86</v>
      </c>
      <c r="F61" t="s">
        <v>24</v>
      </c>
      <c r="G61" t="s">
        <v>29</v>
      </c>
      <c r="H61">
        <v>8</v>
      </c>
      <c r="I61">
        <v>210.08</v>
      </c>
      <c r="J61">
        <v>133.38999999999999</v>
      </c>
      <c r="K61">
        <f t="shared" si="0"/>
        <v>1680.64</v>
      </c>
      <c r="L61">
        <v>0.1</v>
      </c>
      <c r="M61">
        <f t="shared" si="1"/>
        <v>168.06400000000002</v>
      </c>
      <c r="N61">
        <f t="shared" si="2"/>
        <v>1512.576</v>
      </c>
      <c r="O61">
        <f t="shared" si="3"/>
        <v>1067.1199999999999</v>
      </c>
      <c r="P61">
        <f t="shared" si="4"/>
        <v>445.45600000000013</v>
      </c>
      <c r="Q61">
        <f t="shared" si="5"/>
        <v>29.450156554116958</v>
      </c>
      <c r="R61" t="s">
        <v>50</v>
      </c>
      <c r="S61" t="s">
        <v>47</v>
      </c>
      <c r="T61">
        <v>4.5999999999999996</v>
      </c>
    </row>
    <row r="62" spans="1:20">
      <c r="A62" t="s">
        <v>130</v>
      </c>
      <c r="B62" s="3">
        <v>45333</v>
      </c>
      <c r="C62" t="s">
        <v>19</v>
      </c>
      <c r="D62" t="s">
        <v>30</v>
      </c>
      <c r="E62" t="s">
        <v>68</v>
      </c>
      <c r="F62" t="s">
        <v>24</v>
      </c>
      <c r="G62" t="s">
        <v>40</v>
      </c>
      <c r="H62">
        <v>17</v>
      </c>
      <c r="I62">
        <v>444.1</v>
      </c>
      <c r="J62">
        <v>276.35000000000002</v>
      </c>
      <c r="K62">
        <f t="shared" si="0"/>
        <v>7549.7000000000007</v>
      </c>
      <c r="L62">
        <v>0.2</v>
      </c>
      <c r="M62">
        <f t="shared" si="1"/>
        <v>1509.9400000000003</v>
      </c>
      <c r="N62">
        <f t="shared" si="2"/>
        <v>6039.76</v>
      </c>
      <c r="O62">
        <f t="shared" si="3"/>
        <v>4697.9500000000007</v>
      </c>
      <c r="P62">
        <f t="shared" si="4"/>
        <v>1341.8099999999995</v>
      </c>
      <c r="Q62">
        <f t="shared" si="5"/>
        <v>22.216280117090736</v>
      </c>
      <c r="R62" t="s">
        <v>49</v>
      </c>
      <c r="S62" t="s">
        <v>41</v>
      </c>
      <c r="T62">
        <v>3.5</v>
      </c>
    </row>
    <row r="63" spans="1:20">
      <c r="A63" t="s">
        <v>131</v>
      </c>
      <c r="B63" s="3">
        <v>45334</v>
      </c>
      <c r="C63" t="s">
        <v>19</v>
      </c>
      <c r="D63" t="s">
        <v>26</v>
      </c>
      <c r="E63" t="s">
        <v>68</v>
      </c>
      <c r="F63" t="s">
        <v>20</v>
      </c>
      <c r="G63" t="s">
        <v>34</v>
      </c>
      <c r="H63">
        <v>16</v>
      </c>
      <c r="I63">
        <v>709.89</v>
      </c>
      <c r="J63">
        <v>377.78</v>
      </c>
      <c r="K63">
        <f t="shared" si="0"/>
        <v>11358.24</v>
      </c>
      <c r="L63">
        <v>0.25</v>
      </c>
      <c r="M63">
        <f t="shared" si="1"/>
        <v>2839.56</v>
      </c>
      <c r="N63">
        <f t="shared" si="2"/>
        <v>8518.68</v>
      </c>
      <c r="O63">
        <f t="shared" si="3"/>
        <v>6044.48</v>
      </c>
      <c r="P63">
        <f t="shared" si="4"/>
        <v>2474.2000000000007</v>
      </c>
      <c r="Q63">
        <f t="shared" si="5"/>
        <v>29.044405940826522</v>
      </c>
      <c r="R63" t="s">
        <v>50</v>
      </c>
      <c r="S63" t="s">
        <v>41</v>
      </c>
      <c r="T63">
        <v>4.5</v>
      </c>
    </row>
    <row r="64" spans="1:20">
      <c r="A64" t="s">
        <v>132</v>
      </c>
      <c r="B64" s="3">
        <v>45334</v>
      </c>
      <c r="C64" t="s">
        <v>19</v>
      </c>
      <c r="D64" t="s">
        <v>28</v>
      </c>
      <c r="E64" t="s">
        <v>70</v>
      </c>
      <c r="F64" t="s">
        <v>20</v>
      </c>
      <c r="G64" t="s">
        <v>34</v>
      </c>
      <c r="H64">
        <v>16</v>
      </c>
      <c r="I64">
        <v>1272.42</v>
      </c>
      <c r="J64">
        <v>499.83</v>
      </c>
      <c r="K64">
        <f t="shared" si="0"/>
        <v>20358.72</v>
      </c>
      <c r="L64">
        <v>0.15</v>
      </c>
      <c r="M64">
        <f t="shared" si="1"/>
        <v>3053.808</v>
      </c>
      <c r="N64">
        <f t="shared" si="2"/>
        <v>17304.912</v>
      </c>
      <c r="O64">
        <f t="shared" si="3"/>
        <v>7997.28</v>
      </c>
      <c r="P64">
        <f t="shared" si="4"/>
        <v>9307.6320000000014</v>
      </c>
      <c r="Q64">
        <f t="shared" si="5"/>
        <v>53.786069527542246</v>
      </c>
      <c r="R64" t="s">
        <v>50</v>
      </c>
      <c r="S64" t="s">
        <v>43</v>
      </c>
      <c r="T64">
        <v>3.5</v>
      </c>
    </row>
    <row r="65" spans="1:20">
      <c r="A65" t="s">
        <v>133</v>
      </c>
      <c r="B65" s="3">
        <v>45335</v>
      </c>
      <c r="C65" t="s">
        <v>19</v>
      </c>
      <c r="D65" t="s">
        <v>30</v>
      </c>
      <c r="E65" t="s">
        <v>68</v>
      </c>
      <c r="F65" t="s">
        <v>24</v>
      </c>
      <c r="G65" t="s">
        <v>46</v>
      </c>
      <c r="H65">
        <v>30</v>
      </c>
      <c r="I65">
        <v>782.67</v>
      </c>
      <c r="J65">
        <v>492.02</v>
      </c>
      <c r="K65">
        <f t="shared" si="0"/>
        <v>23480.1</v>
      </c>
      <c r="L65">
        <v>0.05</v>
      </c>
      <c r="M65">
        <f t="shared" si="1"/>
        <v>1174.0049999999999</v>
      </c>
      <c r="N65">
        <f t="shared" si="2"/>
        <v>22306.094999999998</v>
      </c>
      <c r="O65">
        <f t="shared" si="3"/>
        <v>14760.599999999999</v>
      </c>
      <c r="P65">
        <f t="shared" si="4"/>
        <v>7545.494999999999</v>
      </c>
      <c r="Q65">
        <f t="shared" si="5"/>
        <v>33.827054892395999</v>
      </c>
      <c r="R65" t="s">
        <v>49</v>
      </c>
      <c r="S65" t="s">
        <v>43</v>
      </c>
      <c r="T65">
        <v>3.7</v>
      </c>
    </row>
    <row r="66" spans="1:20">
      <c r="A66" t="s">
        <v>134</v>
      </c>
      <c r="B66" s="3">
        <v>45337</v>
      </c>
      <c r="C66" t="s">
        <v>19</v>
      </c>
      <c r="D66" t="s">
        <v>30</v>
      </c>
      <c r="E66" t="s">
        <v>86</v>
      </c>
      <c r="F66" t="s">
        <v>22</v>
      </c>
      <c r="G66" t="s">
        <v>42</v>
      </c>
      <c r="H66">
        <v>48</v>
      </c>
      <c r="I66">
        <v>1386.98</v>
      </c>
      <c r="J66">
        <v>1031.6500000000001</v>
      </c>
      <c r="K66">
        <f t="shared" ref="K66:K129" si="6">H66*I66</f>
        <v>66575.040000000008</v>
      </c>
      <c r="L66">
        <v>0.05</v>
      </c>
      <c r="M66">
        <f t="shared" ref="M66:M129" si="7">K66*L66</f>
        <v>3328.7520000000004</v>
      </c>
      <c r="N66">
        <f t="shared" ref="N66:N129" si="8">K66-M66</f>
        <v>63246.288000000008</v>
      </c>
      <c r="O66">
        <f t="shared" ref="O66:O129" si="9">H66*J66</f>
        <v>49519.200000000004</v>
      </c>
      <c r="P66">
        <f t="shared" ref="P66:P129" si="10">N66-O66</f>
        <v>13727.088000000003</v>
      </c>
      <c r="Q66">
        <f t="shared" ref="Q66:Q129" si="11">IFERROR(P66/N66*100,0)</f>
        <v>21.704179698261502</v>
      </c>
      <c r="R66" t="s">
        <v>49</v>
      </c>
      <c r="S66" t="s">
        <v>43</v>
      </c>
      <c r="T66">
        <v>3.6</v>
      </c>
    </row>
    <row r="67" spans="1:20">
      <c r="A67" t="s">
        <v>135</v>
      </c>
      <c r="B67" s="3">
        <v>45338</v>
      </c>
      <c r="C67" t="s">
        <v>19</v>
      </c>
      <c r="D67" t="s">
        <v>30</v>
      </c>
      <c r="E67" t="s">
        <v>68</v>
      </c>
      <c r="F67" t="s">
        <v>24</v>
      </c>
      <c r="G67" t="s">
        <v>40</v>
      </c>
      <c r="H67">
        <v>32</v>
      </c>
      <c r="I67">
        <v>621.61</v>
      </c>
      <c r="J67">
        <v>367.66</v>
      </c>
      <c r="K67">
        <f t="shared" si="6"/>
        <v>19891.52</v>
      </c>
      <c r="L67">
        <v>0.1</v>
      </c>
      <c r="M67">
        <f t="shared" si="7"/>
        <v>1989.152</v>
      </c>
      <c r="N67">
        <f t="shared" si="8"/>
        <v>17902.368000000002</v>
      </c>
      <c r="O67">
        <f t="shared" si="9"/>
        <v>11765.12</v>
      </c>
      <c r="P67">
        <f t="shared" si="10"/>
        <v>6137.2480000000014</v>
      </c>
      <c r="Q67">
        <f t="shared" si="11"/>
        <v>34.281766523847573</v>
      </c>
      <c r="R67" t="s">
        <v>50</v>
      </c>
      <c r="S67" t="s">
        <v>41</v>
      </c>
      <c r="T67">
        <v>4.3</v>
      </c>
    </row>
    <row r="68" spans="1:20">
      <c r="A68" t="s">
        <v>136</v>
      </c>
      <c r="B68" s="3">
        <v>45338</v>
      </c>
      <c r="C68" t="s">
        <v>19</v>
      </c>
      <c r="D68" t="s">
        <v>32</v>
      </c>
      <c r="E68" t="s">
        <v>68</v>
      </c>
      <c r="F68" t="s">
        <v>22</v>
      </c>
      <c r="G68" t="s">
        <v>42</v>
      </c>
      <c r="H68">
        <v>47</v>
      </c>
      <c r="I68">
        <v>1479.97</v>
      </c>
      <c r="J68">
        <v>1142.26</v>
      </c>
      <c r="K68">
        <f t="shared" si="6"/>
        <v>69558.59</v>
      </c>
      <c r="L68">
        <v>0</v>
      </c>
      <c r="M68">
        <f t="shared" si="7"/>
        <v>0</v>
      </c>
      <c r="N68">
        <f t="shared" si="8"/>
        <v>69558.59</v>
      </c>
      <c r="O68">
        <f t="shared" si="9"/>
        <v>53686.22</v>
      </c>
      <c r="P68">
        <f t="shared" si="10"/>
        <v>15872.369999999995</v>
      </c>
      <c r="Q68">
        <f t="shared" si="11"/>
        <v>22.818705784576711</v>
      </c>
      <c r="R68" t="s">
        <v>49</v>
      </c>
      <c r="S68" t="s">
        <v>41</v>
      </c>
      <c r="T68">
        <v>4.2</v>
      </c>
    </row>
    <row r="69" spans="1:20">
      <c r="A69" t="s">
        <v>137</v>
      </c>
      <c r="B69" s="3">
        <v>45338</v>
      </c>
      <c r="C69" t="s">
        <v>19</v>
      </c>
      <c r="D69" t="s">
        <v>32</v>
      </c>
      <c r="E69" t="s">
        <v>86</v>
      </c>
      <c r="F69" t="s">
        <v>23</v>
      </c>
      <c r="G69" t="s">
        <v>44</v>
      </c>
      <c r="H69">
        <v>15</v>
      </c>
      <c r="I69">
        <v>1433.67</v>
      </c>
      <c r="J69">
        <v>1046.1099999999999</v>
      </c>
      <c r="K69">
        <f t="shared" si="6"/>
        <v>21505.050000000003</v>
      </c>
      <c r="L69">
        <v>0</v>
      </c>
      <c r="M69">
        <f t="shared" si="7"/>
        <v>0</v>
      </c>
      <c r="N69">
        <f t="shared" si="8"/>
        <v>21505.050000000003</v>
      </c>
      <c r="O69">
        <f t="shared" si="9"/>
        <v>15691.649999999998</v>
      </c>
      <c r="P69">
        <f t="shared" si="10"/>
        <v>5813.4000000000051</v>
      </c>
      <c r="Q69">
        <f t="shared" si="11"/>
        <v>27.032720221529381</v>
      </c>
      <c r="R69" t="s">
        <v>49</v>
      </c>
      <c r="S69" t="s">
        <v>47</v>
      </c>
      <c r="T69">
        <v>3.2</v>
      </c>
    </row>
    <row r="70" spans="1:20">
      <c r="A70" t="s">
        <v>138</v>
      </c>
      <c r="B70" s="3">
        <v>45339</v>
      </c>
      <c r="C70" t="s">
        <v>19</v>
      </c>
      <c r="D70" t="s">
        <v>30</v>
      </c>
      <c r="E70" t="s">
        <v>70</v>
      </c>
      <c r="F70" t="s">
        <v>23</v>
      </c>
      <c r="G70" t="s">
        <v>44</v>
      </c>
      <c r="H70">
        <v>39</v>
      </c>
      <c r="I70">
        <v>1133.23</v>
      </c>
      <c r="J70">
        <v>950.57</v>
      </c>
      <c r="K70">
        <f t="shared" si="6"/>
        <v>44195.97</v>
      </c>
      <c r="L70">
        <v>0</v>
      </c>
      <c r="M70">
        <f t="shared" si="7"/>
        <v>0</v>
      </c>
      <c r="N70">
        <f t="shared" si="8"/>
        <v>44195.97</v>
      </c>
      <c r="O70">
        <f t="shared" si="9"/>
        <v>37072.230000000003</v>
      </c>
      <c r="P70">
        <f t="shared" si="10"/>
        <v>7123.739999999998</v>
      </c>
      <c r="Q70">
        <f t="shared" si="11"/>
        <v>16.118528454064922</v>
      </c>
      <c r="R70" t="s">
        <v>49</v>
      </c>
      <c r="S70" t="s">
        <v>41</v>
      </c>
      <c r="T70">
        <v>3.4</v>
      </c>
    </row>
    <row r="71" spans="1:20">
      <c r="A71" t="s">
        <v>139</v>
      </c>
      <c r="B71" s="3">
        <v>45339</v>
      </c>
      <c r="C71" t="s">
        <v>19</v>
      </c>
      <c r="D71" t="s">
        <v>26</v>
      </c>
      <c r="E71" t="s">
        <v>70</v>
      </c>
      <c r="F71" t="s">
        <v>20</v>
      </c>
      <c r="G71" t="s">
        <v>34</v>
      </c>
      <c r="H71">
        <v>4</v>
      </c>
      <c r="I71">
        <v>1348.78</v>
      </c>
      <c r="J71">
        <v>476.49</v>
      </c>
      <c r="K71">
        <f t="shared" si="6"/>
        <v>5395.12</v>
      </c>
      <c r="L71">
        <v>0</v>
      </c>
      <c r="M71">
        <f t="shared" si="7"/>
        <v>0</v>
      </c>
      <c r="N71">
        <f t="shared" si="8"/>
        <v>5395.12</v>
      </c>
      <c r="O71">
        <f t="shared" si="9"/>
        <v>1905.96</v>
      </c>
      <c r="P71">
        <f t="shared" si="10"/>
        <v>3489.16</v>
      </c>
      <c r="Q71">
        <f t="shared" si="11"/>
        <v>64.672518868903751</v>
      </c>
      <c r="R71" t="s">
        <v>49</v>
      </c>
      <c r="S71" t="s">
        <v>43</v>
      </c>
      <c r="T71">
        <v>4.5999999999999996</v>
      </c>
    </row>
    <row r="72" spans="1:20">
      <c r="A72" t="s">
        <v>140</v>
      </c>
      <c r="B72" s="3">
        <v>45340</v>
      </c>
      <c r="C72" t="s">
        <v>19</v>
      </c>
      <c r="D72" t="s">
        <v>28</v>
      </c>
      <c r="E72" t="s">
        <v>68</v>
      </c>
      <c r="F72" t="s">
        <v>23</v>
      </c>
      <c r="G72" t="s">
        <v>38</v>
      </c>
      <c r="H72">
        <v>9</v>
      </c>
      <c r="I72">
        <v>646.29999999999995</v>
      </c>
      <c r="J72">
        <v>474.49</v>
      </c>
      <c r="K72">
        <f t="shared" si="6"/>
        <v>5816.7</v>
      </c>
      <c r="L72">
        <v>0</v>
      </c>
      <c r="M72">
        <f t="shared" si="7"/>
        <v>0</v>
      </c>
      <c r="N72">
        <f t="shared" si="8"/>
        <v>5816.7</v>
      </c>
      <c r="O72">
        <f t="shared" si="9"/>
        <v>4270.41</v>
      </c>
      <c r="P72">
        <f t="shared" si="10"/>
        <v>1546.29</v>
      </c>
      <c r="Q72">
        <f t="shared" si="11"/>
        <v>26.583629893238438</v>
      </c>
      <c r="R72" t="s">
        <v>50</v>
      </c>
      <c r="S72" t="s">
        <v>45</v>
      </c>
      <c r="T72">
        <v>3.8</v>
      </c>
    </row>
    <row r="73" spans="1:20">
      <c r="A73" t="s">
        <v>141</v>
      </c>
      <c r="B73" s="3">
        <v>45340</v>
      </c>
      <c r="C73" t="s">
        <v>19</v>
      </c>
      <c r="D73" t="s">
        <v>32</v>
      </c>
      <c r="E73" t="s">
        <v>70</v>
      </c>
      <c r="F73" t="s">
        <v>24</v>
      </c>
      <c r="G73" t="s">
        <v>46</v>
      </c>
      <c r="H73">
        <v>26</v>
      </c>
      <c r="I73">
        <v>1453.82</v>
      </c>
      <c r="J73">
        <v>959.89</v>
      </c>
      <c r="K73">
        <f t="shared" si="6"/>
        <v>37799.32</v>
      </c>
      <c r="L73">
        <v>0</v>
      </c>
      <c r="M73">
        <f t="shared" si="7"/>
        <v>0</v>
      </c>
      <c r="N73">
        <f t="shared" si="8"/>
        <v>37799.32</v>
      </c>
      <c r="O73">
        <f t="shared" si="9"/>
        <v>24957.14</v>
      </c>
      <c r="P73">
        <f t="shared" si="10"/>
        <v>12842.18</v>
      </c>
      <c r="Q73">
        <f t="shared" si="11"/>
        <v>33.974632347883507</v>
      </c>
      <c r="R73" t="s">
        <v>50</v>
      </c>
      <c r="S73" t="s">
        <v>43</v>
      </c>
      <c r="T73">
        <v>3.9</v>
      </c>
    </row>
    <row r="74" spans="1:20">
      <c r="A74" t="s">
        <v>142</v>
      </c>
      <c r="B74" s="3">
        <v>45341</v>
      </c>
      <c r="C74" t="s">
        <v>19</v>
      </c>
      <c r="D74" t="s">
        <v>28</v>
      </c>
      <c r="E74" t="s">
        <v>68</v>
      </c>
      <c r="F74" t="s">
        <v>24</v>
      </c>
      <c r="G74" t="s">
        <v>40</v>
      </c>
      <c r="H74">
        <v>6</v>
      </c>
      <c r="I74">
        <v>1091.2</v>
      </c>
      <c r="J74">
        <v>762.63</v>
      </c>
      <c r="K74">
        <f t="shared" si="6"/>
        <v>6547.2000000000007</v>
      </c>
      <c r="L74">
        <v>0</v>
      </c>
      <c r="M74">
        <f t="shared" si="7"/>
        <v>0</v>
      </c>
      <c r="N74">
        <f t="shared" si="8"/>
        <v>6547.2000000000007</v>
      </c>
      <c r="O74">
        <f t="shared" si="9"/>
        <v>4575.78</v>
      </c>
      <c r="P74">
        <f t="shared" si="10"/>
        <v>1971.420000000001</v>
      </c>
      <c r="Q74">
        <f t="shared" si="11"/>
        <v>30.110887096774203</v>
      </c>
      <c r="R74" t="s">
        <v>49</v>
      </c>
      <c r="S74" t="s">
        <v>41</v>
      </c>
      <c r="T74">
        <v>3.1</v>
      </c>
    </row>
    <row r="75" spans="1:20">
      <c r="A75" t="s">
        <v>143</v>
      </c>
      <c r="B75" s="3">
        <v>45341</v>
      </c>
      <c r="C75" t="s">
        <v>19</v>
      </c>
      <c r="D75" t="s">
        <v>26</v>
      </c>
      <c r="E75" t="s">
        <v>70</v>
      </c>
      <c r="F75" t="s">
        <v>20</v>
      </c>
      <c r="G75" t="s">
        <v>34</v>
      </c>
      <c r="H75">
        <v>36</v>
      </c>
      <c r="I75">
        <v>921.29</v>
      </c>
      <c r="J75">
        <v>364.95</v>
      </c>
      <c r="K75">
        <f t="shared" si="6"/>
        <v>33166.44</v>
      </c>
      <c r="L75">
        <v>0</v>
      </c>
      <c r="M75">
        <f t="shared" si="7"/>
        <v>0</v>
      </c>
      <c r="N75">
        <f t="shared" si="8"/>
        <v>33166.44</v>
      </c>
      <c r="O75">
        <f t="shared" si="9"/>
        <v>13138.199999999999</v>
      </c>
      <c r="P75">
        <f t="shared" si="10"/>
        <v>20028.240000000005</v>
      </c>
      <c r="Q75">
        <f t="shared" si="11"/>
        <v>60.387065961857843</v>
      </c>
      <c r="R75" t="s">
        <v>51</v>
      </c>
      <c r="S75" t="s">
        <v>41</v>
      </c>
      <c r="T75">
        <v>3.7</v>
      </c>
    </row>
    <row r="76" spans="1:20">
      <c r="A76" t="s">
        <v>144</v>
      </c>
      <c r="B76" s="3">
        <v>45342</v>
      </c>
      <c r="C76" t="s">
        <v>19</v>
      </c>
      <c r="D76" t="s">
        <v>28</v>
      </c>
      <c r="E76" t="s">
        <v>70</v>
      </c>
      <c r="F76" t="s">
        <v>24</v>
      </c>
      <c r="G76" t="s">
        <v>40</v>
      </c>
      <c r="H76">
        <v>9</v>
      </c>
      <c r="I76">
        <v>1181.96</v>
      </c>
      <c r="J76">
        <v>660.28</v>
      </c>
      <c r="K76">
        <f t="shared" si="6"/>
        <v>10637.64</v>
      </c>
      <c r="L76">
        <v>0.25</v>
      </c>
      <c r="M76">
        <f t="shared" si="7"/>
        <v>2659.41</v>
      </c>
      <c r="N76">
        <f t="shared" si="8"/>
        <v>7978.23</v>
      </c>
      <c r="O76">
        <f t="shared" si="9"/>
        <v>5942.5199999999995</v>
      </c>
      <c r="P76">
        <f t="shared" si="10"/>
        <v>2035.71</v>
      </c>
      <c r="Q76">
        <f t="shared" si="11"/>
        <v>25.515809897684072</v>
      </c>
      <c r="R76" t="s">
        <v>51</v>
      </c>
      <c r="S76" t="s">
        <v>43</v>
      </c>
      <c r="T76">
        <v>4.7</v>
      </c>
    </row>
    <row r="77" spans="1:20">
      <c r="A77" t="s">
        <v>145</v>
      </c>
      <c r="B77" s="3">
        <v>45343</v>
      </c>
      <c r="C77" t="s">
        <v>19</v>
      </c>
      <c r="D77" t="s">
        <v>30</v>
      </c>
      <c r="E77" t="s">
        <v>68</v>
      </c>
      <c r="F77" t="s">
        <v>24</v>
      </c>
      <c r="G77" t="s">
        <v>46</v>
      </c>
      <c r="H77">
        <v>11</v>
      </c>
      <c r="I77">
        <v>253.41</v>
      </c>
      <c r="J77">
        <v>140.44</v>
      </c>
      <c r="K77">
        <f t="shared" si="6"/>
        <v>2787.5099999999998</v>
      </c>
      <c r="L77">
        <v>0.05</v>
      </c>
      <c r="M77">
        <f t="shared" si="7"/>
        <v>139.37549999999999</v>
      </c>
      <c r="N77">
        <f t="shared" si="8"/>
        <v>2648.1344999999997</v>
      </c>
      <c r="O77">
        <f t="shared" si="9"/>
        <v>1544.84</v>
      </c>
      <c r="P77">
        <f t="shared" si="10"/>
        <v>1103.2944999999997</v>
      </c>
      <c r="Q77">
        <f t="shared" si="11"/>
        <v>41.66308395589423</v>
      </c>
      <c r="R77" t="s">
        <v>51</v>
      </c>
      <c r="S77" t="s">
        <v>47</v>
      </c>
      <c r="T77">
        <v>4.0999999999999996</v>
      </c>
    </row>
    <row r="78" spans="1:20">
      <c r="A78" t="s">
        <v>146</v>
      </c>
      <c r="B78" s="3">
        <v>45344</v>
      </c>
      <c r="C78" t="s">
        <v>19</v>
      </c>
      <c r="D78" t="s">
        <v>30</v>
      </c>
      <c r="E78" t="s">
        <v>68</v>
      </c>
      <c r="F78" t="s">
        <v>20</v>
      </c>
      <c r="G78" t="s">
        <v>34</v>
      </c>
      <c r="H78">
        <v>5</v>
      </c>
      <c r="I78">
        <v>533.67999999999995</v>
      </c>
      <c r="J78">
        <v>217.31</v>
      </c>
      <c r="K78">
        <f t="shared" si="6"/>
        <v>2668.3999999999996</v>
      </c>
      <c r="L78">
        <v>0</v>
      </c>
      <c r="M78">
        <f t="shared" si="7"/>
        <v>0</v>
      </c>
      <c r="N78">
        <f t="shared" si="8"/>
        <v>2668.3999999999996</v>
      </c>
      <c r="O78">
        <f t="shared" si="9"/>
        <v>1086.55</v>
      </c>
      <c r="P78">
        <f t="shared" si="10"/>
        <v>1581.8499999999997</v>
      </c>
      <c r="Q78">
        <f t="shared" si="11"/>
        <v>59.280842452405935</v>
      </c>
      <c r="R78" t="s">
        <v>49</v>
      </c>
      <c r="S78" t="s">
        <v>47</v>
      </c>
      <c r="T78">
        <v>4.8</v>
      </c>
    </row>
    <row r="79" spans="1:20">
      <c r="A79" t="s">
        <v>147</v>
      </c>
      <c r="B79" s="3">
        <v>45344</v>
      </c>
      <c r="C79" t="s">
        <v>19</v>
      </c>
      <c r="D79" t="s">
        <v>28</v>
      </c>
      <c r="E79" t="s">
        <v>68</v>
      </c>
      <c r="F79" t="s">
        <v>24</v>
      </c>
      <c r="G79" t="s">
        <v>29</v>
      </c>
      <c r="H79">
        <v>37</v>
      </c>
      <c r="I79">
        <v>1476.32</v>
      </c>
      <c r="J79">
        <v>1011.56</v>
      </c>
      <c r="K79">
        <f t="shared" si="6"/>
        <v>54623.839999999997</v>
      </c>
      <c r="L79">
        <v>0.1</v>
      </c>
      <c r="M79">
        <f t="shared" si="7"/>
        <v>5462.384</v>
      </c>
      <c r="N79">
        <f t="shared" si="8"/>
        <v>49161.455999999998</v>
      </c>
      <c r="O79">
        <f t="shared" si="9"/>
        <v>37427.72</v>
      </c>
      <c r="P79">
        <f t="shared" si="10"/>
        <v>11733.735999999997</v>
      </c>
      <c r="Q79">
        <f t="shared" si="11"/>
        <v>23.867755259323477</v>
      </c>
      <c r="R79" t="s">
        <v>49</v>
      </c>
      <c r="S79" t="s">
        <v>41</v>
      </c>
      <c r="T79">
        <v>3.1</v>
      </c>
    </row>
    <row r="80" spans="1:20">
      <c r="A80" t="s">
        <v>148</v>
      </c>
      <c r="B80" s="3">
        <v>45344</v>
      </c>
      <c r="C80" t="s">
        <v>19</v>
      </c>
      <c r="D80" t="s">
        <v>26</v>
      </c>
      <c r="E80" t="s">
        <v>70</v>
      </c>
      <c r="F80" t="s">
        <v>20</v>
      </c>
      <c r="G80" t="s">
        <v>34</v>
      </c>
      <c r="H80">
        <v>40</v>
      </c>
      <c r="I80">
        <v>78.709999999999994</v>
      </c>
      <c r="J80">
        <v>40.17</v>
      </c>
      <c r="K80">
        <f t="shared" si="6"/>
        <v>3148.3999999999996</v>
      </c>
      <c r="L80">
        <v>0</v>
      </c>
      <c r="M80">
        <f t="shared" si="7"/>
        <v>0</v>
      </c>
      <c r="N80">
        <f t="shared" si="8"/>
        <v>3148.3999999999996</v>
      </c>
      <c r="O80">
        <f t="shared" si="9"/>
        <v>1606.8000000000002</v>
      </c>
      <c r="P80">
        <f t="shared" si="10"/>
        <v>1541.5999999999995</v>
      </c>
      <c r="Q80">
        <f t="shared" si="11"/>
        <v>48.964553423961362</v>
      </c>
      <c r="R80" t="s">
        <v>51</v>
      </c>
      <c r="S80" t="s">
        <v>41</v>
      </c>
      <c r="T80">
        <v>3.6</v>
      </c>
    </row>
    <row r="81" spans="1:20">
      <c r="A81" t="s">
        <v>149</v>
      </c>
      <c r="B81" s="3">
        <v>45345</v>
      </c>
      <c r="C81" t="s">
        <v>19</v>
      </c>
      <c r="D81" t="s">
        <v>30</v>
      </c>
      <c r="E81" t="s">
        <v>68</v>
      </c>
      <c r="F81" t="s">
        <v>23</v>
      </c>
      <c r="G81" t="s">
        <v>37</v>
      </c>
      <c r="H81">
        <v>24</v>
      </c>
      <c r="I81">
        <v>530.26</v>
      </c>
      <c r="J81">
        <v>441.5</v>
      </c>
      <c r="K81">
        <f t="shared" si="6"/>
        <v>12726.24</v>
      </c>
      <c r="L81">
        <v>0.2</v>
      </c>
      <c r="M81">
        <f t="shared" si="7"/>
        <v>2545.248</v>
      </c>
      <c r="N81">
        <f t="shared" si="8"/>
        <v>10180.992</v>
      </c>
      <c r="O81">
        <f t="shared" si="9"/>
        <v>10596</v>
      </c>
      <c r="P81">
        <f t="shared" si="10"/>
        <v>-415.00799999999981</v>
      </c>
      <c r="Q81">
        <f t="shared" si="11"/>
        <v>-4.0763021913778124</v>
      </c>
      <c r="R81" t="s">
        <v>50</v>
      </c>
      <c r="S81" t="s">
        <v>47</v>
      </c>
      <c r="T81">
        <v>4.5999999999999996</v>
      </c>
    </row>
    <row r="82" spans="1:20">
      <c r="A82" t="s">
        <v>150</v>
      </c>
      <c r="B82" s="3">
        <v>45347</v>
      </c>
      <c r="C82" t="s">
        <v>19</v>
      </c>
      <c r="D82" t="s">
        <v>28</v>
      </c>
      <c r="E82" t="s">
        <v>70</v>
      </c>
      <c r="F82" t="s">
        <v>24</v>
      </c>
      <c r="G82" t="s">
        <v>29</v>
      </c>
      <c r="H82">
        <v>45</v>
      </c>
      <c r="I82">
        <v>22.37</v>
      </c>
      <c r="J82">
        <v>11.8</v>
      </c>
      <c r="K82">
        <f t="shared" si="6"/>
        <v>1006.6500000000001</v>
      </c>
      <c r="L82">
        <v>0.15</v>
      </c>
      <c r="M82">
        <f t="shared" si="7"/>
        <v>150.9975</v>
      </c>
      <c r="N82">
        <f t="shared" si="8"/>
        <v>855.65250000000015</v>
      </c>
      <c r="O82">
        <f t="shared" si="9"/>
        <v>531</v>
      </c>
      <c r="P82">
        <f t="shared" si="10"/>
        <v>324.65250000000015</v>
      </c>
      <c r="Q82">
        <f t="shared" si="11"/>
        <v>37.942096820847262</v>
      </c>
      <c r="R82" t="s">
        <v>49</v>
      </c>
      <c r="S82" t="s">
        <v>45</v>
      </c>
      <c r="T82">
        <v>3.1</v>
      </c>
    </row>
    <row r="83" spans="1:20">
      <c r="A83" t="s">
        <v>151</v>
      </c>
      <c r="B83" s="3">
        <v>45347</v>
      </c>
      <c r="C83" t="s">
        <v>19</v>
      </c>
      <c r="D83" t="s">
        <v>26</v>
      </c>
      <c r="E83" t="s">
        <v>68</v>
      </c>
      <c r="F83" t="s">
        <v>24</v>
      </c>
      <c r="G83" t="s">
        <v>29</v>
      </c>
      <c r="H83">
        <v>48</v>
      </c>
      <c r="I83">
        <v>249.24</v>
      </c>
      <c r="J83">
        <v>143.4</v>
      </c>
      <c r="K83">
        <f t="shared" si="6"/>
        <v>11963.52</v>
      </c>
      <c r="L83">
        <v>0</v>
      </c>
      <c r="M83">
        <f t="shared" si="7"/>
        <v>0</v>
      </c>
      <c r="N83">
        <f t="shared" si="8"/>
        <v>11963.52</v>
      </c>
      <c r="O83">
        <f t="shared" si="9"/>
        <v>6883.2000000000007</v>
      </c>
      <c r="P83">
        <f t="shared" si="10"/>
        <v>5080.32</v>
      </c>
      <c r="Q83">
        <f t="shared" si="11"/>
        <v>42.465093885411648</v>
      </c>
      <c r="R83" t="s">
        <v>49</v>
      </c>
      <c r="S83" t="s">
        <v>47</v>
      </c>
      <c r="T83">
        <v>4.5999999999999996</v>
      </c>
    </row>
    <row r="84" spans="1:20">
      <c r="A84" t="s">
        <v>152</v>
      </c>
      <c r="B84" s="3">
        <v>45347</v>
      </c>
      <c r="C84" t="s">
        <v>19</v>
      </c>
      <c r="D84" t="s">
        <v>28</v>
      </c>
      <c r="E84" t="s">
        <v>70</v>
      </c>
      <c r="F84" t="s">
        <v>22</v>
      </c>
      <c r="G84" t="s">
        <v>35</v>
      </c>
      <c r="H84">
        <v>11</v>
      </c>
      <c r="I84">
        <v>838.78</v>
      </c>
      <c r="J84">
        <v>615.51</v>
      </c>
      <c r="K84">
        <f t="shared" si="6"/>
        <v>9226.58</v>
      </c>
      <c r="L84">
        <v>0.05</v>
      </c>
      <c r="M84">
        <f t="shared" si="7"/>
        <v>461.32900000000001</v>
      </c>
      <c r="N84">
        <f t="shared" si="8"/>
        <v>8765.2510000000002</v>
      </c>
      <c r="O84">
        <f t="shared" si="9"/>
        <v>6770.61</v>
      </c>
      <c r="P84">
        <f t="shared" si="10"/>
        <v>1994.6410000000005</v>
      </c>
      <c r="Q84">
        <f t="shared" si="11"/>
        <v>22.756233677734961</v>
      </c>
      <c r="R84" t="s">
        <v>49</v>
      </c>
      <c r="S84" t="s">
        <v>41</v>
      </c>
      <c r="T84">
        <v>3.7</v>
      </c>
    </row>
    <row r="85" spans="1:20">
      <c r="A85" t="s">
        <v>153</v>
      </c>
      <c r="B85" s="3">
        <v>45348</v>
      </c>
      <c r="C85" t="s">
        <v>19</v>
      </c>
      <c r="D85" t="s">
        <v>26</v>
      </c>
      <c r="E85" t="s">
        <v>70</v>
      </c>
      <c r="F85" t="s">
        <v>23</v>
      </c>
      <c r="G85" t="s">
        <v>37</v>
      </c>
      <c r="H85">
        <v>34</v>
      </c>
      <c r="I85">
        <v>737.62</v>
      </c>
      <c r="J85">
        <v>619.94000000000005</v>
      </c>
      <c r="K85">
        <f t="shared" si="6"/>
        <v>25079.08</v>
      </c>
      <c r="L85">
        <v>0.2</v>
      </c>
      <c r="M85">
        <f t="shared" si="7"/>
        <v>5015.8160000000007</v>
      </c>
      <c r="N85">
        <f t="shared" si="8"/>
        <v>20063.264000000003</v>
      </c>
      <c r="O85">
        <f t="shared" si="9"/>
        <v>21077.960000000003</v>
      </c>
      <c r="P85">
        <f t="shared" si="10"/>
        <v>-1014.6959999999999</v>
      </c>
      <c r="Q85">
        <f t="shared" si="11"/>
        <v>-5.0574821723922883</v>
      </c>
      <c r="R85" t="s">
        <v>51</v>
      </c>
      <c r="S85" t="s">
        <v>43</v>
      </c>
      <c r="T85">
        <v>5</v>
      </c>
    </row>
    <row r="86" spans="1:20">
      <c r="A86" t="s">
        <v>154</v>
      </c>
      <c r="B86" s="3">
        <v>45348</v>
      </c>
      <c r="C86" t="s">
        <v>19</v>
      </c>
      <c r="D86" t="s">
        <v>30</v>
      </c>
      <c r="E86" t="s">
        <v>68</v>
      </c>
      <c r="F86" t="s">
        <v>20</v>
      </c>
      <c r="G86" t="s">
        <v>31</v>
      </c>
      <c r="H86">
        <v>26</v>
      </c>
      <c r="I86">
        <v>443.49</v>
      </c>
      <c r="J86">
        <v>231.61</v>
      </c>
      <c r="K86">
        <f t="shared" si="6"/>
        <v>11530.74</v>
      </c>
      <c r="L86">
        <v>0.2</v>
      </c>
      <c r="M86">
        <f t="shared" si="7"/>
        <v>2306.1480000000001</v>
      </c>
      <c r="N86">
        <f t="shared" si="8"/>
        <v>9224.5920000000006</v>
      </c>
      <c r="O86">
        <f t="shared" si="9"/>
        <v>6021.8600000000006</v>
      </c>
      <c r="P86">
        <f t="shared" si="10"/>
        <v>3202.732</v>
      </c>
      <c r="Q86">
        <f t="shared" si="11"/>
        <v>34.7194976211414</v>
      </c>
      <c r="R86" t="s">
        <v>50</v>
      </c>
      <c r="S86" t="s">
        <v>45</v>
      </c>
      <c r="T86">
        <v>4.5</v>
      </c>
    </row>
    <row r="87" spans="1:20">
      <c r="A87" t="s">
        <v>155</v>
      </c>
      <c r="B87" s="3">
        <v>45348</v>
      </c>
      <c r="C87" t="s">
        <v>19</v>
      </c>
      <c r="D87" t="s">
        <v>26</v>
      </c>
      <c r="E87" t="s">
        <v>68</v>
      </c>
      <c r="F87" t="s">
        <v>23</v>
      </c>
      <c r="G87" t="s">
        <v>38</v>
      </c>
      <c r="H87">
        <v>13</v>
      </c>
      <c r="I87">
        <v>553.65</v>
      </c>
      <c r="J87">
        <v>443.6</v>
      </c>
      <c r="K87">
        <f t="shared" si="6"/>
        <v>7197.45</v>
      </c>
      <c r="L87">
        <v>0.05</v>
      </c>
      <c r="M87">
        <f t="shared" si="7"/>
        <v>359.8725</v>
      </c>
      <c r="N87">
        <f t="shared" si="8"/>
        <v>6837.5774999999994</v>
      </c>
      <c r="O87">
        <f t="shared" si="9"/>
        <v>5766.8</v>
      </c>
      <c r="P87">
        <f t="shared" si="10"/>
        <v>1070.7774999999992</v>
      </c>
      <c r="Q87">
        <f t="shared" si="11"/>
        <v>15.660188129494685</v>
      </c>
      <c r="R87" t="s">
        <v>49</v>
      </c>
      <c r="S87" t="s">
        <v>43</v>
      </c>
      <c r="T87">
        <v>5</v>
      </c>
    </row>
    <row r="88" spans="1:20">
      <c r="A88" t="s">
        <v>156</v>
      </c>
      <c r="B88" s="3">
        <v>45349</v>
      </c>
      <c r="C88" t="s">
        <v>19</v>
      </c>
      <c r="D88" t="s">
        <v>28</v>
      </c>
      <c r="E88" t="s">
        <v>68</v>
      </c>
      <c r="F88" t="s">
        <v>22</v>
      </c>
      <c r="G88" t="s">
        <v>33</v>
      </c>
      <c r="H88">
        <v>37</v>
      </c>
      <c r="I88">
        <v>1488.01</v>
      </c>
      <c r="J88">
        <v>973.28</v>
      </c>
      <c r="K88">
        <f t="shared" si="6"/>
        <v>55056.37</v>
      </c>
      <c r="L88">
        <v>0.1</v>
      </c>
      <c r="M88">
        <f t="shared" si="7"/>
        <v>5505.6370000000006</v>
      </c>
      <c r="N88">
        <f t="shared" si="8"/>
        <v>49550.733</v>
      </c>
      <c r="O88">
        <f t="shared" si="9"/>
        <v>36011.360000000001</v>
      </c>
      <c r="P88">
        <f t="shared" si="10"/>
        <v>13539.373</v>
      </c>
      <c r="Q88">
        <f t="shared" si="11"/>
        <v>27.324263800497157</v>
      </c>
      <c r="R88" t="s">
        <v>49</v>
      </c>
      <c r="S88" t="s">
        <v>41</v>
      </c>
      <c r="T88">
        <v>3.7</v>
      </c>
    </row>
    <row r="89" spans="1:20">
      <c r="A89" t="s">
        <v>157</v>
      </c>
      <c r="B89" s="3">
        <v>45349</v>
      </c>
      <c r="C89" t="s">
        <v>19</v>
      </c>
      <c r="D89" t="s">
        <v>30</v>
      </c>
      <c r="E89" t="s">
        <v>70</v>
      </c>
      <c r="F89" t="s">
        <v>23</v>
      </c>
      <c r="G89" t="s">
        <v>37</v>
      </c>
      <c r="H89">
        <v>26</v>
      </c>
      <c r="I89">
        <v>762.55</v>
      </c>
      <c r="J89">
        <v>575.24</v>
      </c>
      <c r="K89">
        <f t="shared" si="6"/>
        <v>19826.3</v>
      </c>
      <c r="L89">
        <v>0</v>
      </c>
      <c r="M89">
        <f t="shared" si="7"/>
        <v>0</v>
      </c>
      <c r="N89">
        <f t="shared" si="8"/>
        <v>19826.3</v>
      </c>
      <c r="O89">
        <f t="shared" si="9"/>
        <v>14956.24</v>
      </c>
      <c r="P89">
        <f t="shared" si="10"/>
        <v>4870.0599999999995</v>
      </c>
      <c r="Q89">
        <f t="shared" si="11"/>
        <v>24.563635171464167</v>
      </c>
      <c r="R89" t="s">
        <v>50</v>
      </c>
      <c r="S89" t="s">
        <v>41</v>
      </c>
      <c r="T89">
        <v>4.0999999999999996</v>
      </c>
    </row>
    <row r="90" spans="1:20">
      <c r="A90" t="s">
        <v>158</v>
      </c>
      <c r="B90" s="3">
        <v>45349</v>
      </c>
      <c r="C90" t="s">
        <v>19</v>
      </c>
      <c r="D90" t="s">
        <v>28</v>
      </c>
      <c r="E90" t="s">
        <v>70</v>
      </c>
      <c r="F90" t="s">
        <v>24</v>
      </c>
      <c r="G90" t="s">
        <v>29</v>
      </c>
      <c r="H90">
        <v>48</v>
      </c>
      <c r="I90">
        <v>1069.33</v>
      </c>
      <c r="J90">
        <v>558.79</v>
      </c>
      <c r="K90">
        <f t="shared" si="6"/>
        <v>51327.839999999997</v>
      </c>
      <c r="L90">
        <v>0.25</v>
      </c>
      <c r="M90">
        <f t="shared" si="7"/>
        <v>12831.96</v>
      </c>
      <c r="N90">
        <f t="shared" si="8"/>
        <v>38495.879999999997</v>
      </c>
      <c r="O90">
        <f t="shared" si="9"/>
        <v>26821.919999999998</v>
      </c>
      <c r="P90">
        <f t="shared" si="10"/>
        <v>11673.96</v>
      </c>
      <c r="Q90">
        <f t="shared" si="11"/>
        <v>30.325219218264394</v>
      </c>
      <c r="R90" t="s">
        <v>50</v>
      </c>
      <c r="S90" t="s">
        <v>43</v>
      </c>
      <c r="T90">
        <v>4.4000000000000004</v>
      </c>
    </row>
    <row r="91" spans="1:20">
      <c r="A91" t="s">
        <v>159</v>
      </c>
      <c r="B91" s="3">
        <v>45349</v>
      </c>
      <c r="C91" t="s">
        <v>19</v>
      </c>
      <c r="D91" t="s">
        <v>26</v>
      </c>
      <c r="E91" t="s">
        <v>68</v>
      </c>
      <c r="F91" t="s">
        <v>20</v>
      </c>
      <c r="G91" t="s">
        <v>31</v>
      </c>
      <c r="H91">
        <v>12</v>
      </c>
      <c r="I91">
        <v>1115.42</v>
      </c>
      <c r="J91">
        <v>537.57000000000005</v>
      </c>
      <c r="K91">
        <f t="shared" si="6"/>
        <v>13385.04</v>
      </c>
      <c r="L91">
        <v>0</v>
      </c>
      <c r="M91">
        <f t="shared" si="7"/>
        <v>0</v>
      </c>
      <c r="N91">
        <f t="shared" si="8"/>
        <v>13385.04</v>
      </c>
      <c r="O91">
        <f t="shared" si="9"/>
        <v>6450.84</v>
      </c>
      <c r="P91">
        <f t="shared" si="10"/>
        <v>6934.2000000000007</v>
      </c>
      <c r="Q91">
        <f t="shared" si="11"/>
        <v>51.805597891377239</v>
      </c>
      <c r="R91" t="s">
        <v>49</v>
      </c>
      <c r="S91" t="s">
        <v>41</v>
      </c>
      <c r="T91">
        <v>3.5</v>
      </c>
    </row>
    <row r="92" spans="1:20">
      <c r="A92" t="s">
        <v>160</v>
      </c>
      <c r="B92" s="3">
        <v>45349</v>
      </c>
      <c r="C92" t="s">
        <v>19</v>
      </c>
      <c r="D92" t="s">
        <v>32</v>
      </c>
      <c r="E92" t="s">
        <v>70</v>
      </c>
      <c r="F92" t="s">
        <v>24</v>
      </c>
      <c r="G92" t="s">
        <v>29</v>
      </c>
      <c r="H92">
        <v>3</v>
      </c>
      <c r="I92">
        <v>1279.47</v>
      </c>
      <c r="J92">
        <v>865.03</v>
      </c>
      <c r="K92">
        <f t="shared" si="6"/>
        <v>3838.41</v>
      </c>
      <c r="L92">
        <v>0.2</v>
      </c>
      <c r="M92">
        <f t="shared" si="7"/>
        <v>767.68200000000002</v>
      </c>
      <c r="N92">
        <f t="shared" si="8"/>
        <v>3070.7280000000001</v>
      </c>
      <c r="O92">
        <f t="shared" si="9"/>
        <v>2595.09</v>
      </c>
      <c r="P92">
        <f t="shared" si="10"/>
        <v>475.63799999999992</v>
      </c>
      <c r="Q92">
        <f t="shared" si="11"/>
        <v>15.489421401048869</v>
      </c>
      <c r="R92" t="s">
        <v>50</v>
      </c>
      <c r="S92" t="s">
        <v>43</v>
      </c>
      <c r="T92">
        <v>3.8</v>
      </c>
    </row>
    <row r="93" spans="1:20">
      <c r="A93" t="s">
        <v>161</v>
      </c>
      <c r="B93" s="3">
        <v>45351</v>
      </c>
      <c r="C93" t="s">
        <v>19</v>
      </c>
      <c r="D93" t="s">
        <v>26</v>
      </c>
      <c r="E93" t="s">
        <v>68</v>
      </c>
      <c r="F93" t="s">
        <v>24</v>
      </c>
      <c r="G93" t="s">
        <v>29</v>
      </c>
      <c r="H93">
        <v>27</v>
      </c>
      <c r="I93">
        <v>573.95000000000005</v>
      </c>
      <c r="J93">
        <v>319.89</v>
      </c>
      <c r="K93">
        <f t="shared" si="6"/>
        <v>15496.650000000001</v>
      </c>
      <c r="L93">
        <v>0.1</v>
      </c>
      <c r="M93">
        <f t="shared" si="7"/>
        <v>1549.6650000000002</v>
      </c>
      <c r="N93">
        <f t="shared" si="8"/>
        <v>13946.985000000001</v>
      </c>
      <c r="O93">
        <f t="shared" si="9"/>
        <v>8637.0299999999988</v>
      </c>
      <c r="P93">
        <f t="shared" si="10"/>
        <v>5309.9550000000017</v>
      </c>
      <c r="Q93">
        <f t="shared" si="11"/>
        <v>38.072422104132194</v>
      </c>
      <c r="R93" t="s">
        <v>51</v>
      </c>
      <c r="S93" t="s">
        <v>47</v>
      </c>
      <c r="T93">
        <v>4.0999999999999996</v>
      </c>
    </row>
    <row r="94" spans="1:20">
      <c r="A94" t="s">
        <v>162</v>
      </c>
      <c r="B94" s="3">
        <v>45354</v>
      </c>
      <c r="C94" t="s">
        <v>19</v>
      </c>
      <c r="D94" t="s">
        <v>28</v>
      </c>
      <c r="E94" t="s">
        <v>68</v>
      </c>
      <c r="F94" t="s">
        <v>23</v>
      </c>
      <c r="G94" t="s">
        <v>44</v>
      </c>
      <c r="H94">
        <v>21</v>
      </c>
      <c r="I94">
        <v>739.6</v>
      </c>
      <c r="J94">
        <v>544.26</v>
      </c>
      <c r="K94">
        <f t="shared" si="6"/>
        <v>15531.6</v>
      </c>
      <c r="L94">
        <v>0.1</v>
      </c>
      <c r="M94">
        <f t="shared" si="7"/>
        <v>1553.16</v>
      </c>
      <c r="N94">
        <f t="shared" si="8"/>
        <v>13978.44</v>
      </c>
      <c r="O94">
        <f t="shared" si="9"/>
        <v>11429.46</v>
      </c>
      <c r="P94">
        <f t="shared" si="10"/>
        <v>2548.9800000000014</v>
      </c>
      <c r="Q94">
        <f t="shared" si="11"/>
        <v>18.235082026320544</v>
      </c>
      <c r="R94" t="s">
        <v>49</v>
      </c>
      <c r="S94" t="s">
        <v>41</v>
      </c>
      <c r="T94">
        <v>4.0999999999999996</v>
      </c>
    </row>
    <row r="95" spans="1:20">
      <c r="A95" t="s">
        <v>163</v>
      </c>
      <c r="B95" s="3">
        <v>45355</v>
      </c>
      <c r="C95" t="s">
        <v>19</v>
      </c>
      <c r="D95" t="s">
        <v>30</v>
      </c>
      <c r="E95" t="s">
        <v>86</v>
      </c>
      <c r="F95" t="s">
        <v>24</v>
      </c>
      <c r="G95" t="s">
        <v>29</v>
      </c>
      <c r="H95">
        <v>27</v>
      </c>
      <c r="I95">
        <v>262.89999999999998</v>
      </c>
      <c r="J95">
        <v>154.52000000000001</v>
      </c>
      <c r="K95">
        <f t="shared" si="6"/>
        <v>7098.2999999999993</v>
      </c>
      <c r="L95">
        <v>0.05</v>
      </c>
      <c r="M95">
        <f t="shared" si="7"/>
        <v>354.91499999999996</v>
      </c>
      <c r="N95">
        <f t="shared" si="8"/>
        <v>6743.3849999999993</v>
      </c>
      <c r="O95">
        <f t="shared" si="9"/>
        <v>4172.04</v>
      </c>
      <c r="P95">
        <f t="shared" si="10"/>
        <v>2571.3449999999993</v>
      </c>
      <c r="Q95">
        <f t="shared" si="11"/>
        <v>38.131368741366536</v>
      </c>
      <c r="R95" t="s">
        <v>50</v>
      </c>
      <c r="S95" t="s">
        <v>45</v>
      </c>
      <c r="T95">
        <v>3.6</v>
      </c>
    </row>
    <row r="96" spans="1:20">
      <c r="A96" t="s">
        <v>164</v>
      </c>
      <c r="B96" s="3">
        <v>45357</v>
      </c>
      <c r="C96" t="s">
        <v>19</v>
      </c>
      <c r="D96" t="s">
        <v>32</v>
      </c>
      <c r="E96" t="s">
        <v>68</v>
      </c>
      <c r="F96" t="s">
        <v>23</v>
      </c>
      <c r="G96" t="s">
        <v>38</v>
      </c>
      <c r="H96">
        <v>50</v>
      </c>
      <c r="I96">
        <v>766.97</v>
      </c>
      <c r="J96">
        <v>563.23</v>
      </c>
      <c r="K96">
        <f t="shared" si="6"/>
        <v>38348.5</v>
      </c>
      <c r="L96">
        <v>0</v>
      </c>
      <c r="M96">
        <f t="shared" si="7"/>
        <v>0</v>
      </c>
      <c r="N96">
        <f t="shared" si="8"/>
        <v>38348.5</v>
      </c>
      <c r="O96">
        <f t="shared" si="9"/>
        <v>28161.5</v>
      </c>
      <c r="P96">
        <f t="shared" si="10"/>
        <v>10187</v>
      </c>
      <c r="Q96">
        <f t="shared" si="11"/>
        <v>26.564272396573529</v>
      </c>
      <c r="R96" t="s">
        <v>49</v>
      </c>
      <c r="S96" t="s">
        <v>41</v>
      </c>
      <c r="T96">
        <v>4.2</v>
      </c>
    </row>
    <row r="97" spans="1:20">
      <c r="A97" t="s">
        <v>165</v>
      </c>
      <c r="B97" s="3">
        <v>45359</v>
      </c>
      <c r="C97" t="s">
        <v>19</v>
      </c>
      <c r="D97" t="s">
        <v>28</v>
      </c>
      <c r="E97" t="s">
        <v>68</v>
      </c>
      <c r="F97" t="s">
        <v>24</v>
      </c>
      <c r="G97" t="s">
        <v>40</v>
      </c>
      <c r="H97">
        <v>45</v>
      </c>
      <c r="I97">
        <v>112.86</v>
      </c>
      <c r="J97">
        <v>67.86</v>
      </c>
      <c r="K97">
        <f t="shared" si="6"/>
        <v>5078.7</v>
      </c>
      <c r="L97">
        <v>0</v>
      </c>
      <c r="M97">
        <f t="shared" si="7"/>
        <v>0</v>
      </c>
      <c r="N97">
        <f t="shared" si="8"/>
        <v>5078.7</v>
      </c>
      <c r="O97">
        <f t="shared" si="9"/>
        <v>3053.7</v>
      </c>
      <c r="P97">
        <f t="shared" si="10"/>
        <v>2025</v>
      </c>
      <c r="Q97">
        <f t="shared" si="11"/>
        <v>39.872408293460929</v>
      </c>
      <c r="R97" t="s">
        <v>50</v>
      </c>
      <c r="S97" t="s">
        <v>43</v>
      </c>
      <c r="T97">
        <v>4</v>
      </c>
    </row>
    <row r="98" spans="1:20">
      <c r="A98" t="s">
        <v>166</v>
      </c>
      <c r="B98" s="3">
        <v>45359</v>
      </c>
      <c r="C98" t="s">
        <v>19</v>
      </c>
      <c r="D98" t="s">
        <v>26</v>
      </c>
      <c r="E98" t="s">
        <v>68</v>
      </c>
      <c r="F98" t="s">
        <v>24</v>
      </c>
      <c r="G98" t="s">
        <v>29</v>
      </c>
      <c r="H98">
        <v>10</v>
      </c>
      <c r="I98">
        <v>1151.7</v>
      </c>
      <c r="J98">
        <v>685.78</v>
      </c>
      <c r="K98">
        <f t="shared" si="6"/>
        <v>11517</v>
      </c>
      <c r="L98">
        <v>0</v>
      </c>
      <c r="M98">
        <f t="shared" si="7"/>
        <v>0</v>
      </c>
      <c r="N98">
        <f t="shared" si="8"/>
        <v>11517</v>
      </c>
      <c r="O98">
        <f t="shared" si="9"/>
        <v>6857.7999999999993</v>
      </c>
      <c r="P98">
        <f t="shared" si="10"/>
        <v>4659.2000000000007</v>
      </c>
      <c r="Q98">
        <f t="shared" si="11"/>
        <v>40.454979595380749</v>
      </c>
      <c r="R98" t="s">
        <v>50</v>
      </c>
      <c r="S98" t="s">
        <v>47</v>
      </c>
      <c r="T98">
        <v>4.0999999999999996</v>
      </c>
    </row>
    <row r="99" spans="1:20">
      <c r="A99" t="s">
        <v>167</v>
      </c>
      <c r="B99" s="3">
        <v>45360</v>
      </c>
      <c r="C99" t="s">
        <v>19</v>
      </c>
      <c r="D99" t="s">
        <v>26</v>
      </c>
      <c r="E99" t="s">
        <v>68</v>
      </c>
      <c r="F99" t="s">
        <v>20</v>
      </c>
      <c r="G99" t="s">
        <v>34</v>
      </c>
      <c r="H99">
        <v>29</v>
      </c>
      <c r="I99">
        <v>1318.63</v>
      </c>
      <c r="J99">
        <v>650.24</v>
      </c>
      <c r="K99">
        <f t="shared" si="6"/>
        <v>38240.270000000004</v>
      </c>
      <c r="L99">
        <v>0</v>
      </c>
      <c r="M99">
        <f t="shared" si="7"/>
        <v>0</v>
      </c>
      <c r="N99">
        <f t="shared" si="8"/>
        <v>38240.270000000004</v>
      </c>
      <c r="O99">
        <f t="shared" si="9"/>
        <v>18856.96</v>
      </c>
      <c r="P99">
        <f t="shared" si="10"/>
        <v>19383.310000000005</v>
      </c>
      <c r="Q99">
        <f t="shared" si="11"/>
        <v>50.688214283005848</v>
      </c>
      <c r="R99" t="s">
        <v>50</v>
      </c>
      <c r="S99" t="s">
        <v>41</v>
      </c>
      <c r="T99">
        <v>4.8</v>
      </c>
    </row>
    <row r="100" spans="1:20">
      <c r="A100" t="s">
        <v>168</v>
      </c>
      <c r="B100" s="3">
        <v>45361</v>
      </c>
      <c r="C100" t="s">
        <v>19</v>
      </c>
      <c r="D100" t="s">
        <v>30</v>
      </c>
      <c r="E100" t="s">
        <v>68</v>
      </c>
      <c r="F100" t="s">
        <v>23</v>
      </c>
      <c r="G100" t="s">
        <v>44</v>
      </c>
      <c r="H100">
        <v>39</v>
      </c>
      <c r="I100">
        <v>979.85</v>
      </c>
      <c r="J100">
        <v>829.14</v>
      </c>
      <c r="K100">
        <f t="shared" si="6"/>
        <v>38214.15</v>
      </c>
      <c r="L100">
        <v>0.15</v>
      </c>
      <c r="M100">
        <f t="shared" si="7"/>
        <v>5732.1225000000004</v>
      </c>
      <c r="N100">
        <f t="shared" si="8"/>
        <v>32482.0275</v>
      </c>
      <c r="O100">
        <f t="shared" si="9"/>
        <v>32336.46</v>
      </c>
      <c r="P100">
        <f t="shared" si="10"/>
        <v>145.56750000000102</v>
      </c>
      <c r="Q100">
        <f t="shared" si="11"/>
        <v>0.44814782574764156</v>
      </c>
      <c r="R100" t="s">
        <v>50</v>
      </c>
      <c r="S100" t="s">
        <v>41</v>
      </c>
      <c r="T100">
        <v>4</v>
      </c>
    </row>
    <row r="101" spans="1:20">
      <c r="A101" t="s">
        <v>169</v>
      </c>
      <c r="B101" s="3">
        <v>45362</v>
      </c>
      <c r="C101" t="s">
        <v>19</v>
      </c>
      <c r="D101" t="s">
        <v>32</v>
      </c>
      <c r="E101" t="s">
        <v>68</v>
      </c>
      <c r="F101" t="s">
        <v>20</v>
      </c>
      <c r="G101" t="s">
        <v>34</v>
      </c>
      <c r="H101">
        <v>13</v>
      </c>
      <c r="I101">
        <v>183.26</v>
      </c>
      <c r="J101">
        <v>105.01</v>
      </c>
      <c r="K101">
        <f t="shared" si="6"/>
        <v>2382.38</v>
      </c>
      <c r="L101">
        <v>0</v>
      </c>
      <c r="M101">
        <f t="shared" si="7"/>
        <v>0</v>
      </c>
      <c r="N101">
        <f t="shared" si="8"/>
        <v>2382.38</v>
      </c>
      <c r="O101">
        <f t="shared" si="9"/>
        <v>1365.13</v>
      </c>
      <c r="P101">
        <f t="shared" si="10"/>
        <v>1017.25</v>
      </c>
      <c r="Q101">
        <f t="shared" si="11"/>
        <v>42.698897740914546</v>
      </c>
      <c r="R101" t="s">
        <v>49</v>
      </c>
      <c r="S101" t="s">
        <v>41</v>
      </c>
      <c r="T101">
        <v>4.5</v>
      </c>
    </row>
    <row r="102" spans="1:20">
      <c r="A102" t="s">
        <v>170</v>
      </c>
      <c r="B102" s="3">
        <v>45362</v>
      </c>
      <c r="C102" t="s">
        <v>19</v>
      </c>
      <c r="D102" t="s">
        <v>32</v>
      </c>
      <c r="E102" t="s">
        <v>70</v>
      </c>
      <c r="F102" t="s">
        <v>22</v>
      </c>
      <c r="G102" t="s">
        <v>42</v>
      </c>
      <c r="H102">
        <v>22</v>
      </c>
      <c r="I102">
        <v>105.84</v>
      </c>
      <c r="J102">
        <v>84.01</v>
      </c>
      <c r="K102">
        <f t="shared" si="6"/>
        <v>2328.48</v>
      </c>
      <c r="L102">
        <v>0</v>
      </c>
      <c r="M102">
        <f t="shared" si="7"/>
        <v>0</v>
      </c>
      <c r="N102">
        <f t="shared" si="8"/>
        <v>2328.48</v>
      </c>
      <c r="O102">
        <f t="shared" si="9"/>
        <v>1848.22</v>
      </c>
      <c r="P102">
        <f t="shared" si="10"/>
        <v>480.26</v>
      </c>
      <c r="Q102">
        <f t="shared" si="11"/>
        <v>20.625472411186696</v>
      </c>
      <c r="R102" t="s">
        <v>51</v>
      </c>
      <c r="S102" t="s">
        <v>41</v>
      </c>
      <c r="T102">
        <v>3.1</v>
      </c>
    </row>
    <row r="103" spans="1:20">
      <c r="A103" t="s">
        <v>171</v>
      </c>
      <c r="B103" s="3">
        <v>45363</v>
      </c>
      <c r="C103" t="s">
        <v>19</v>
      </c>
      <c r="D103" t="s">
        <v>30</v>
      </c>
      <c r="E103" t="s">
        <v>68</v>
      </c>
      <c r="F103" t="s">
        <v>22</v>
      </c>
      <c r="G103" t="s">
        <v>42</v>
      </c>
      <c r="H103">
        <v>31</v>
      </c>
      <c r="I103">
        <v>1112.5</v>
      </c>
      <c r="J103">
        <v>748.4</v>
      </c>
      <c r="K103">
        <f t="shared" si="6"/>
        <v>34487.5</v>
      </c>
      <c r="L103">
        <v>0.25</v>
      </c>
      <c r="M103">
        <f t="shared" si="7"/>
        <v>8621.875</v>
      </c>
      <c r="N103">
        <f t="shared" si="8"/>
        <v>25865.625</v>
      </c>
      <c r="O103">
        <f t="shared" si="9"/>
        <v>23200.399999999998</v>
      </c>
      <c r="P103">
        <f t="shared" si="10"/>
        <v>2665.2250000000022</v>
      </c>
      <c r="Q103">
        <f t="shared" si="11"/>
        <v>10.304119850187273</v>
      </c>
      <c r="R103" t="s">
        <v>50</v>
      </c>
      <c r="S103" t="s">
        <v>45</v>
      </c>
      <c r="T103">
        <v>4.7</v>
      </c>
    </row>
    <row r="104" spans="1:20">
      <c r="A104" t="s">
        <v>172</v>
      </c>
      <c r="B104" s="3">
        <v>45363</v>
      </c>
      <c r="C104" t="s">
        <v>19</v>
      </c>
      <c r="D104" t="s">
        <v>30</v>
      </c>
      <c r="E104" t="s">
        <v>68</v>
      </c>
      <c r="F104" t="s">
        <v>22</v>
      </c>
      <c r="G104" t="s">
        <v>35</v>
      </c>
      <c r="H104">
        <v>15</v>
      </c>
      <c r="I104">
        <v>186.9</v>
      </c>
      <c r="J104">
        <v>137.77000000000001</v>
      </c>
      <c r="K104">
        <f t="shared" si="6"/>
        <v>2803.5</v>
      </c>
      <c r="L104">
        <v>0.2</v>
      </c>
      <c r="M104">
        <f t="shared" si="7"/>
        <v>560.70000000000005</v>
      </c>
      <c r="N104">
        <f t="shared" si="8"/>
        <v>2242.8000000000002</v>
      </c>
      <c r="O104">
        <f t="shared" si="9"/>
        <v>2066.5500000000002</v>
      </c>
      <c r="P104">
        <f t="shared" si="10"/>
        <v>176.25</v>
      </c>
      <c r="Q104">
        <f t="shared" si="11"/>
        <v>7.8584804708400204</v>
      </c>
      <c r="R104" t="s">
        <v>49</v>
      </c>
      <c r="S104" t="s">
        <v>47</v>
      </c>
      <c r="T104">
        <v>4.5999999999999996</v>
      </c>
    </row>
    <row r="105" spans="1:20">
      <c r="A105" t="s">
        <v>173</v>
      </c>
      <c r="B105" s="3">
        <v>45364</v>
      </c>
      <c r="C105" t="s">
        <v>19</v>
      </c>
      <c r="D105" t="s">
        <v>28</v>
      </c>
      <c r="E105" t="s">
        <v>68</v>
      </c>
      <c r="F105" t="s">
        <v>20</v>
      </c>
      <c r="G105" t="s">
        <v>31</v>
      </c>
      <c r="H105">
        <v>37</v>
      </c>
      <c r="I105">
        <v>926.99</v>
      </c>
      <c r="J105">
        <v>438.33</v>
      </c>
      <c r="K105">
        <f t="shared" si="6"/>
        <v>34298.629999999997</v>
      </c>
      <c r="L105">
        <v>0.2</v>
      </c>
      <c r="M105">
        <f t="shared" si="7"/>
        <v>6859.7259999999997</v>
      </c>
      <c r="N105">
        <f t="shared" si="8"/>
        <v>27438.903999999999</v>
      </c>
      <c r="O105">
        <f t="shared" si="9"/>
        <v>16218.21</v>
      </c>
      <c r="P105">
        <f t="shared" si="10"/>
        <v>11220.694</v>
      </c>
      <c r="Q105">
        <f t="shared" si="11"/>
        <v>40.89337533306724</v>
      </c>
      <c r="R105" t="s">
        <v>50</v>
      </c>
      <c r="S105" t="s">
        <v>41</v>
      </c>
      <c r="T105">
        <v>4.0999999999999996</v>
      </c>
    </row>
    <row r="106" spans="1:20">
      <c r="A106" t="s">
        <v>174</v>
      </c>
      <c r="B106" s="3">
        <v>45364</v>
      </c>
      <c r="C106" t="s">
        <v>19</v>
      </c>
      <c r="D106" t="s">
        <v>28</v>
      </c>
      <c r="E106" t="s">
        <v>68</v>
      </c>
      <c r="F106" t="s">
        <v>24</v>
      </c>
      <c r="G106" t="s">
        <v>29</v>
      </c>
      <c r="H106">
        <v>12</v>
      </c>
      <c r="I106">
        <v>26.3</v>
      </c>
      <c r="J106">
        <v>13.64</v>
      </c>
      <c r="K106">
        <f t="shared" si="6"/>
        <v>315.60000000000002</v>
      </c>
      <c r="L106">
        <v>0.25</v>
      </c>
      <c r="M106">
        <f t="shared" si="7"/>
        <v>78.900000000000006</v>
      </c>
      <c r="N106">
        <f t="shared" si="8"/>
        <v>236.70000000000002</v>
      </c>
      <c r="O106">
        <f t="shared" si="9"/>
        <v>163.68</v>
      </c>
      <c r="P106">
        <f t="shared" si="10"/>
        <v>73.02000000000001</v>
      </c>
      <c r="Q106">
        <f t="shared" si="11"/>
        <v>30.84917617237009</v>
      </c>
      <c r="R106" t="s">
        <v>50</v>
      </c>
      <c r="S106" t="s">
        <v>41</v>
      </c>
      <c r="T106">
        <v>3.7</v>
      </c>
    </row>
    <row r="107" spans="1:20">
      <c r="A107" t="s">
        <v>175</v>
      </c>
      <c r="B107" s="3">
        <v>45365</v>
      </c>
      <c r="C107" t="s">
        <v>19</v>
      </c>
      <c r="D107" t="s">
        <v>26</v>
      </c>
      <c r="E107" t="s">
        <v>70</v>
      </c>
      <c r="F107" t="s">
        <v>23</v>
      </c>
      <c r="G107" t="s">
        <v>44</v>
      </c>
      <c r="H107">
        <v>17</v>
      </c>
      <c r="I107">
        <v>93.97</v>
      </c>
      <c r="J107">
        <v>76.36</v>
      </c>
      <c r="K107">
        <f t="shared" si="6"/>
        <v>1597.49</v>
      </c>
      <c r="L107">
        <v>0</v>
      </c>
      <c r="M107">
        <f t="shared" si="7"/>
        <v>0</v>
      </c>
      <c r="N107">
        <f t="shared" si="8"/>
        <v>1597.49</v>
      </c>
      <c r="O107">
        <f t="shared" si="9"/>
        <v>1298.1199999999999</v>
      </c>
      <c r="P107">
        <f t="shared" si="10"/>
        <v>299.37000000000012</v>
      </c>
      <c r="Q107">
        <f t="shared" si="11"/>
        <v>18.740023411727154</v>
      </c>
      <c r="R107" t="s">
        <v>49</v>
      </c>
      <c r="S107" t="s">
        <v>41</v>
      </c>
      <c r="T107">
        <v>3.4</v>
      </c>
    </row>
    <row r="108" spans="1:20">
      <c r="A108" t="s">
        <v>176</v>
      </c>
      <c r="B108" s="3">
        <v>45365</v>
      </c>
      <c r="C108" t="s">
        <v>19</v>
      </c>
      <c r="D108" t="s">
        <v>30</v>
      </c>
      <c r="E108" t="s">
        <v>86</v>
      </c>
      <c r="F108" t="s">
        <v>23</v>
      </c>
      <c r="G108" t="s">
        <v>37</v>
      </c>
      <c r="H108">
        <v>12</v>
      </c>
      <c r="I108">
        <v>555.71</v>
      </c>
      <c r="J108">
        <v>438.15</v>
      </c>
      <c r="K108">
        <f t="shared" si="6"/>
        <v>6668.52</v>
      </c>
      <c r="L108">
        <v>0</v>
      </c>
      <c r="M108">
        <f t="shared" si="7"/>
        <v>0</v>
      </c>
      <c r="N108">
        <f t="shared" si="8"/>
        <v>6668.52</v>
      </c>
      <c r="O108">
        <f t="shared" si="9"/>
        <v>5257.7999999999993</v>
      </c>
      <c r="P108">
        <f t="shared" si="10"/>
        <v>1410.7200000000012</v>
      </c>
      <c r="Q108">
        <f t="shared" si="11"/>
        <v>21.15491893253677</v>
      </c>
      <c r="R108" t="s">
        <v>51</v>
      </c>
      <c r="S108" t="s">
        <v>45</v>
      </c>
      <c r="T108">
        <v>3.4</v>
      </c>
    </row>
    <row r="109" spans="1:20">
      <c r="A109" t="s">
        <v>177</v>
      </c>
      <c r="B109" s="3">
        <v>45365</v>
      </c>
      <c r="C109" t="s">
        <v>19</v>
      </c>
      <c r="D109" t="s">
        <v>32</v>
      </c>
      <c r="E109" t="s">
        <v>68</v>
      </c>
      <c r="F109" t="s">
        <v>23</v>
      </c>
      <c r="G109" t="s">
        <v>38</v>
      </c>
      <c r="H109">
        <v>20</v>
      </c>
      <c r="I109">
        <v>770.4</v>
      </c>
      <c r="J109">
        <v>567.53</v>
      </c>
      <c r="K109">
        <f t="shared" si="6"/>
        <v>15408</v>
      </c>
      <c r="L109">
        <v>0.15</v>
      </c>
      <c r="M109">
        <f t="shared" si="7"/>
        <v>2311.1999999999998</v>
      </c>
      <c r="N109">
        <f t="shared" si="8"/>
        <v>13096.8</v>
      </c>
      <c r="O109">
        <f t="shared" si="9"/>
        <v>11350.599999999999</v>
      </c>
      <c r="P109">
        <f t="shared" si="10"/>
        <v>1746.2000000000007</v>
      </c>
      <c r="Q109">
        <f t="shared" si="11"/>
        <v>13.333027915215936</v>
      </c>
      <c r="R109" t="s">
        <v>51</v>
      </c>
      <c r="S109" t="s">
        <v>41</v>
      </c>
      <c r="T109">
        <v>3.5</v>
      </c>
    </row>
    <row r="110" spans="1:20">
      <c r="A110" t="s">
        <v>178</v>
      </c>
      <c r="B110" s="3">
        <v>45366</v>
      </c>
      <c r="C110" t="s">
        <v>19</v>
      </c>
      <c r="D110" t="s">
        <v>32</v>
      </c>
      <c r="E110" t="s">
        <v>86</v>
      </c>
      <c r="F110" t="s">
        <v>24</v>
      </c>
      <c r="G110" t="s">
        <v>40</v>
      </c>
      <c r="H110">
        <v>9</v>
      </c>
      <c r="I110">
        <v>1471.07</v>
      </c>
      <c r="J110">
        <v>962.43</v>
      </c>
      <c r="K110">
        <f t="shared" si="6"/>
        <v>13239.63</v>
      </c>
      <c r="L110">
        <v>0.1</v>
      </c>
      <c r="M110">
        <f t="shared" si="7"/>
        <v>1323.963</v>
      </c>
      <c r="N110">
        <f t="shared" si="8"/>
        <v>11915.666999999999</v>
      </c>
      <c r="O110">
        <f t="shared" si="9"/>
        <v>8661.869999999999</v>
      </c>
      <c r="P110">
        <f t="shared" si="10"/>
        <v>3253.7970000000005</v>
      </c>
      <c r="Q110">
        <f t="shared" si="11"/>
        <v>27.306880932473192</v>
      </c>
      <c r="R110" t="s">
        <v>49</v>
      </c>
      <c r="S110" t="s">
        <v>43</v>
      </c>
      <c r="T110">
        <v>4.9000000000000004</v>
      </c>
    </row>
    <row r="111" spans="1:20">
      <c r="A111" t="s">
        <v>179</v>
      </c>
      <c r="B111" s="3">
        <v>45367</v>
      </c>
      <c r="C111" t="s">
        <v>19</v>
      </c>
      <c r="D111" t="s">
        <v>26</v>
      </c>
      <c r="E111" t="s">
        <v>68</v>
      </c>
      <c r="F111" t="s">
        <v>20</v>
      </c>
      <c r="G111" t="s">
        <v>31</v>
      </c>
      <c r="H111">
        <v>14</v>
      </c>
      <c r="I111">
        <v>473.75</v>
      </c>
      <c r="J111">
        <v>275.13</v>
      </c>
      <c r="K111">
        <f t="shared" si="6"/>
        <v>6632.5</v>
      </c>
      <c r="L111">
        <v>0</v>
      </c>
      <c r="M111">
        <f t="shared" si="7"/>
        <v>0</v>
      </c>
      <c r="N111">
        <f t="shared" si="8"/>
        <v>6632.5</v>
      </c>
      <c r="O111">
        <f t="shared" si="9"/>
        <v>3851.8199999999997</v>
      </c>
      <c r="P111">
        <f t="shared" si="10"/>
        <v>2780.6800000000003</v>
      </c>
      <c r="Q111">
        <f t="shared" si="11"/>
        <v>41.925065963060689</v>
      </c>
      <c r="R111" t="s">
        <v>51</v>
      </c>
      <c r="S111" t="s">
        <v>43</v>
      </c>
      <c r="T111">
        <v>4.7</v>
      </c>
    </row>
    <row r="112" spans="1:20">
      <c r="A112" t="s">
        <v>180</v>
      </c>
      <c r="B112" s="3">
        <v>45369</v>
      </c>
      <c r="C112" t="s">
        <v>19</v>
      </c>
      <c r="D112" t="s">
        <v>26</v>
      </c>
      <c r="E112" t="s">
        <v>68</v>
      </c>
      <c r="F112" t="s">
        <v>23</v>
      </c>
      <c r="G112" t="s">
        <v>37</v>
      </c>
      <c r="H112">
        <v>22</v>
      </c>
      <c r="I112">
        <v>893.18</v>
      </c>
      <c r="J112">
        <v>720.38</v>
      </c>
      <c r="K112">
        <f t="shared" si="6"/>
        <v>19649.96</v>
      </c>
      <c r="L112">
        <v>0.15</v>
      </c>
      <c r="M112">
        <f t="shared" si="7"/>
        <v>2947.4939999999997</v>
      </c>
      <c r="N112">
        <f t="shared" si="8"/>
        <v>16702.466</v>
      </c>
      <c r="O112">
        <f t="shared" si="9"/>
        <v>15848.36</v>
      </c>
      <c r="P112">
        <f t="shared" si="10"/>
        <v>854.10599999999977</v>
      </c>
      <c r="Q112">
        <f t="shared" si="11"/>
        <v>5.113652079878503</v>
      </c>
      <c r="R112" t="s">
        <v>49</v>
      </c>
      <c r="S112" t="s">
        <v>43</v>
      </c>
      <c r="T112">
        <v>3.7</v>
      </c>
    </row>
    <row r="113" spans="1:20">
      <c r="A113" t="s">
        <v>181</v>
      </c>
      <c r="B113" s="3">
        <v>45369</v>
      </c>
      <c r="C113" t="s">
        <v>19</v>
      </c>
      <c r="D113" t="s">
        <v>28</v>
      </c>
      <c r="E113" t="s">
        <v>68</v>
      </c>
      <c r="F113" t="s">
        <v>22</v>
      </c>
      <c r="G113" t="s">
        <v>33</v>
      </c>
      <c r="H113">
        <v>22</v>
      </c>
      <c r="I113">
        <v>445.08</v>
      </c>
      <c r="J113">
        <v>341.71</v>
      </c>
      <c r="K113">
        <f t="shared" si="6"/>
        <v>9791.76</v>
      </c>
      <c r="L113">
        <v>0</v>
      </c>
      <c r="M113">
        <f t="shared" si="7"/>
        <v>0</v>
      </c>
      <c r="N113">
        <f t="shared" si="8"/>
        <v>9791.76</v>
      </c>
      <c r="O113">
        <f t="shared" si="9"/>
        <v>7517.62</v>
      </c>
      <c r="P113">
        <f t="shared" si="10"/>
        <v>2274.1400000000003</v>
      </c>
      <c r="Q113">
        <f t="shared" si="11"/>
        <v>23.225038195380609</v>
      </c>
      <c r="R113" t="s">
        <v>49</v>
      </c>
      <c r="S113" t="s">
        <v>41</v>
      </c>
      <c r="T113">
        <v>5</v>
      </c>
    </row>
    <row r="114" spans="1:20">
      <c r="A114" t="s">
        <v>182</v>
      </c>
      <c r="B114" s="3">
        <v>45370</v>
      </c>
      <c r="C114" t="s">
        <v>19</v>
      </c>
      <c r="D114" t="s">
        <v>32</v>
      </c>
      <c r="E114" t="s">
        <v>68</v>
      </c>
      <c r="F114" t="s">
        <v>23</v>
      </c>
      <c r="G114" t="s">
        <v>38</v>
      </c>
      <c r="H114">
        <v>32</v>
      </c>
      <c r="I114">
        <v>212.18</v>
      </c>
      <c r="J114">
        <v>150.76</v>
      </c>
      <c r="K114">
        <f t="shared" si="6"/>
        <v>6789.76</v>
      </c>
      <c r="L114">
        <v>0</v>
      </c>
      <c r="M114">
        <f t="shared" si="7"/>
        <v>0</v>
      </c>
      <c r="N114">
        <f t="shared" si="8"/>
        <v>6789.76</v>
      </c>
      <c r="O114">
        <f t="shared" si="9"/>
        <v>4824.32</v>
      </c>
      <c r="P114">
        <f t="shared" si="10"/>
        <v>1965.4400000000005</v>
      </c>
      <c r="Q114">
        <f t="shared" si="11"/>
        <v>28.947120369497604</v>
      </c>
      <c r="R114" t="s">
        <v>49</v>
      </c>
      <c r="S114" t="s">
        <v>45</v>
      </c>
      <c r="T114">
        <v>4.8</v>
      </c>
    </row>
    <row r="115" spans="1:20">
      <c r="A115" t="s">
        <v>183</v>
      </c>
      <c r="B115" s="3">
        <v>45372</v>
      </c>
      <c r="C115" t="s">
        <v>19</v>
      </c>
      <c r="D115" t="s">
        <v>32</v>
      </c>
      <c r="E115" t="s">
        <v>68</v>
      </c>
      <c r="F115" t="s">
        <v>20</v>
      </c>
      <c r="G115" t="s">
        <v>31</v>
      </c>
      <c r="H115">
        <v>30</v>
      </c>
      <c r="I115">
        <v>1076.08</v>
      </c>
      <c r="J115">
        <v>428.25</v>
      </c>
      <c r="K115">
        <f t="shared" si="6"/>
        <v>32282.399999999998</v>
      </c>
      <c r="L115">
        <v>0.05</v>
      </c>
      <c r="M115">
        <f t="shared" si="7"/>
        <v>1614.12</v>
      </c>
      <c r="N115">
        <f t="shared" si="8"/>
        <v>30668.28</v>
      </c>
      <c r="O115">
        <f t="shared" si="9"/>
        <v>12847.5</v>
      </c>
      <c r="P115">
        <f t="shared" si="10"/>
        <v>17820.78</v>
      </c>
      <c r="Q115">
        <f t="shared" si="11"/>
        <v>58.108182134765954</v>
      </c>
      <c r="R115" t="s">
        <v>51</v>
      </c>
      <c r="S115" t="s">
        <v>41</v>
      </c>
      <c r="T115">
        <v>4.5</v>
      </c>
    </row>
    <row r="116" spans="1:20">
      <c r="A116" t="s">
        <v>184</v>
      </c>
      <c r="B116" s="3">
        <v>45372</v>
      </c>
      <c r="C116" t="s">
        <v>19</v>
      </c>
      <c r="D116" t="s">
        <v>32</v>
      </c>
      <c r="E116" t="s">
        <v>70</v>
      </c>
      <c r="F116" t="s">
        <v>20</v>
      </c>
      <c r="G116" t="s">
        <v>36</v>
      </c>
      <c r="H116">
        <v>19</v>
      </c>
      <c r="I116">
        <v>1440.94</v>
      </c>
      <c r="J116">
        <v>636.39</v>
      </c>
      <c r="K116">
        <f t="shared" si="6"/>
        <v>27377.86</v>
      </c>
      <c r="L116">
        <v>0.05</v>
      </c>
      <c r="M116">
        <f t="shared" si="7"/>
        <v>1368.893</v>
      </c>
      <c r="N116">
        <f t="shared" si="8"/>
        <v>26008.967000000001</v>
      </c>
      <c r="O116">
        <f t="shared" si="9"/>
        <v>12091.41</v>
      </c>
      <c r="P116">
        <f t="shared" si="10"/>
        <v>13917.557000000001</v>
      </c>
      <c r="Q116">
        <f t="shared" si="11"/>
        <v>53.510610398329163</v>
      </c>
      <c r="R116" t="s">
        <v>50</v>
      </c>
      <c r="S116" t="s">
        <v>41</v>
      </c>
      <c r="T116">
        <v>4.7</v>
      </c>
    </row>
    <row r="117" spans="1:20">
      <c r="A117" t="s">
        <v>185</v>
      </c>
      <c r="B117" s="3">
        <v>45373</v>
      </c>
      <c r="C117" t="s">
        <v>19</v>
      </c>
      <c r="D117" t="s">
        <v>32</v>
      </c>
      <c r="E117" t="s">
        <v>68</v>
      </c>
      <c r="F117" t="s">
        <v>22</v>
      </c>
      <c r="G117" t="s">
        <v>35</v>
      </c>
      <c r="H117">
        <v>9</v>
      </c>
      <c r="I117">
        <v>1485.29</v>
      </c>
      <c r="J117">
        <v>929.36</v>
      </c>
      <c r="K117">
        <f t="shared" si="6"/>
        <v>13367.61</v>
      </c>
      <c r="L117">
        <v>0.05</v>
      </c>
      <c r="M117">
        <f t="shared" si="7"/>
        <v>668.3805000000001</v>
      </c>
      <c r="N117">
        <f t="shared" si="8"/>
        <v>12699.229500000001</v>
      </c>
      <c r="O117">
        <f t="shared" si="9"/>
        <v>8364.24</v>
      </c>
      <c r="P117">
        <f t="shared" si="10"/>
        <v>4334.9895000000015</v>
      </c>
      <c r="Q117">
        <f t="shared" si="11"/>
        <v>34.135846588172939</v>
      </c>
      <c r="R117" t="s">
        <v>49</v>
      </c>
      <c r="S117" t="s">
        <v>47</v>
      </c>
      <c r="T117">
        <v>4</v>
      </c>
    </row>
    <row r="118" spans="1:20">
      <c r="A118" t="s">
        <v>186</v>
      </c>
      <c r="B118" s="3">
        <v>45375</v>
      </c>
      <c r="C118" t="s">
        <v>19</v>
      </c>
      <c r="D118" t="s">
        <v>30</v>
      </c>
      <c r="E118" t="s">
        <v>86</v>
      </c>
      <c r="F118" t="s">
        <v>20</v>
      </c>
      <c r="G118" t="s">
        <v>31</v>
      </c>
      <c r="H118">
        <v>43</v>
      </c>
      <c r="I118">
        <v>843.44</v>
      </c>
      <c r="J118">
        <v>336.6</v>
      </c>
      <c r="K118">
        <f t="shared" si="6"/>
        <v>36267.920000000006</v>
      </c>
      <c r="L118">
        <v>0</v>
      </c>
      <c r="M118">
        <f t="shared" si="7"/>
        <v>0</v>
      </c>
      <c r="N118">
        <f t="shared" si="8"/>
        <v>36267.920000000006</v>
      </c>
      <c r="O118">
        <f t="shared" si="9"/>
        <v>14473.800000000001</v>
      </c>
      <c r="P118">
        <f t="shared" si="10"/>
        <v>21794.120000000003</v>
      </c>
      <c r="Q118">
        <f t="shared" si="11"/>
        <v>60.092004173385185</v>
      </c>
      <c r="R118" t="s">
        <v>49</v>
      </c>
      <c r="S118" t="s">
        <v>45</v>
      </c>
      <c r="T118">
        <v>4.9000000000000004</v>
      </c>
    </row>
    <row r="119" spans="1:20">
      <c r="A119" t="s">
        <v>187</v>
      </c>
      <c r="B119" s="3">
        <v>45375</v>
      </c>
      <c r="C119" t="s">
        <v>19</v>
      </c>
      <c r="D119" t="s">
        <v>26</v>
      </c>
      <c r="E119" t="s">
        <v>68</v>
      </c>
      <c r="F119" t="s">
        <v>22</v>
      </c>
      <c r="G119" t="s">
        <v>42</v>
      </c>
      <c r="H119">
        <v>15</v>
      </c>
      <c r="I119">
        <v>1261.03</v>
      </c>
      <c r="J119">
        <v>961.77</v>
      </c>
      <c r="K119">
        <f t="shared" si="6"/>
        <v>18915.45</v>
      </c>
      <c r="L119">
        <v>0.2</v>
      </c>
      <c r="M119">
        <f t="shared" si="7"/>
        <v>3783.09</v>
      </c>
      <c r="N119">
        <f t="shared" si="8"/>
        <v>15132.36</v>
      </c>
      <c r="O119">
        <f t="shared" si="9"/>
        <v>14426.55</v>
      </c>
      <c r="P119">
        <f t="shared" si="10"/>
        <v>705.81000000000131</v>
      </c>
      <c r="Q119">
        <f t="shared" si="11"/>
        <v>4.6642427222191465</v>
      </c>
      <c r="R119" t="s">
        <v>50</v>
      </c>
      <c r="S119" t="s">
        <v>41</v>
      </c>
      <c r="T119">
        <v>3.7</v>
      </c>
    </row>
    <row r="120" spans="1:20">
      <c r="A120" t="s">
        <v>188</v>
      </c>
      <c r="B120" s="3">
        <v>45378</v>
      </c>
      <c r="C120" t="s">
        <v>19</v>
      </c>
      <c r="D120" t="s">
        <v>30</v>
      </c>
      <c r="E120" t="s">
        <v>68</v>
      </c>
      <c r="F120" t="s">
        <v>23</v>
      </c>
      <c r="G120" t="s">
        <v>38</v>
      </c>
      <c r="H120">
        <v>21</v>
      </c>
      <c r="I120">
        <v>190.74</v>
      </c>
      <c r="J120">
        <v>136.59</v>
      </c>
      <c r="K120">
        <f t="shared" si="6"/>
        <v>4005.54</v>
      </c>
      <c r="L120">
        <v>0</v>
      </c>
      <c r="M120">
        <f t="shared" si="7"/>
        <v>0</v>
      </c>
      <c r="N120">
        <f t="shared" si="8"/>
        <v>4005.54</v>
      </c>
      <c r="O120">
        <f t="shared" si="9"/>
        <v>2868.39</v>
      </c>
      <c r="P120">
        <f t="shared" si="10"/>
        <v>1137.1500000000001</v>
      </c>
      <c r="Q120">
        <f t="shared" si="11"/>
        <v>28.389430638565589</v>
      </c>
      <c r="R120" t="s">
        <v>49</v>
      </c>
      <c r="S120" t="s">
        <v>41</v>
      </c>
      <c r="T120">
        <v>4.5999999999999996</v>
      </c>
    </row>
    <row r="121" spans="1:20">
      <c r="A121" t="s">
        <v>189</v>
      </c>
      <c r="B121" s="3">
        <v>45379</v>
      </c>
      <c r="C121" t="s">
        <v>19</v>
      </c>
      <c r="D121" t="s">
        <v>30</v>
      </c>
      <c r="E121" t="s">
        <v>70</v>
      </c>
      <c r="F121" t="s">
        <v>22</v>
      </c>
      <c r="G121" t="s">
        <v>33</v>
      </c>
      <c r="H121">
        <v>22</v>
      </c>
      <c r="I121">
        <v>1127.48</v>
      </c>
      <c r="J121">
        <v>780.36</v>
      </c>
      <c r="K121">
        <f t="shared" si="6"/>
        <v>24804.560000000001</v>
      </c>
      <c r="L121">
        <v>0</v>
      </c>
      <c r="M121">
        <f t="shared" si="7"/>
        <v>0</v>
      </c>
      <c r="N121">
        <f t="shared" si="8"/>
        <v>24804.560000000001</v>
      </c>
      <c r="O121">
        <f t="shared" si="9"/>
        <v>17167.920000000002</v>
      </c>
      <c r="P121">
        <f t="shared" si="10"/>
        <v>7636.6399999999994</v>
      </c>
      <c r="Q121">
        <f t="shared" si="11"/>
        <v>30.787242345762227</v>
      </c>
      <c r="R121" t="s">
        <v>51</v>
      </c>
      <c r="S121" t="s">
        <v>41</v>
      </c>
      <c r="T121">
        <v>3.7</v>
      </c>
    </row>
    <row r="122" spans="1:20">
      <c r="A122" t="s">
        <v>190</v>
      </c>
      <c r="B122" s="3">
        <v>45380</v>
      </c>
      <c r="C122" t="s">
        <v>19</v>
      </c>
      <c r="D122" t="s">
        <v>30</v>
      </c>
      <c r="E122" t="s">
        <v>68</v>
      </c>
      <c r="F122" t="s">
        <v>22</v>
      </c>
      <c r="G122" t="s">
        <v>42</v>
      </c>
      <c r="H122">
        <v>37</v>
      </c>
      <c r="I122">
        <v>462.69</v>
      </c>
      <c r="J122">
        <v>295.43</v>
      </c>
      <c r="K122">
        <f t="shared" si="6"/>
        <v>17119.53</v>
      </c>
      <c r="L122">
        <v>0.2</v>
      </c>
      <c r="M122">
        <f t="shared" si="7"/>
        <v>3423.9059999999999</v>
      </c>
      <c r="N122">
        <f t="shared" si="8"/>
        <v>13695.624</v>
      </c>
      <c r="O122">
        <f t="shared" si="9"/>
        <v>10930.91</v>
      </c>
      <c r="P122">
        <f t="shared" si="10"/>
        <v>2764.7139999999999</v>
      </c>
      <c r="Q122">
        <f t="shared" si="11"/>
        <v>20.186842162138795</v>
      </c>
      <c r="R122" t="s">
        <v>50</v>
      </c>
      <c r="S122" t="s">
        <v>41</v>
      </c>
      <c r="T122">
        <v>4.5</v>
      </c>
    </row>
    <row r="123" spans="1:20">
      <c r="A123" t="s">
        <v>191</v>
      </c>
      <c r="B123" s="3">
        <v>45380</v>
      </c>
      <c r="C123" t="s">
        <v>19</v>
      </c>
      <c r="D123" t="s">
        <v>32</v>
      </c>
      <c r="E123" t="s">
        <v>68</v>
      </c>
      <c r="F123" t="s">
        <v>24</v>
      </c>
      <c r="G123" t="s">
        <v>29</v>
      </c>
      <c r="H123">
        <v>7</v>
      </c>
      <c r="I123">
        <v>1330.69</v>
      </c>
      <c r="J123">
        <v>693</v>
      </c>
      <c r="K123">
        <f t="shared" si="6"/>
        <v>9314.83</v>
      </c>
      <c r="L123">
        <v>0.25</v>
      </c>
      <c r="M123">
        <f t="shared" si="7"/>
        <v>2328.7075</v>
      </c>
      <c r="N123">
        <f t="shared" si="8"/>
        <v>6986.1224999999995</v>
      </c>
      <c r="O123">
        <f t="shared" si="9"/>
        <v>4851</v>
      </c>
      <c r="P123">
        <f t="shared" si="10"/>
        <v>2135.1224999999995</v>
      </c>
      <c r="Q123">
        <f t="shared" si="11"/>
        <v>30.562339838730278</v>
      </c>
      <c r="R123" t="s">
        <v>50</v>
      </c>
      <c r="S123" t="s">
        <v>41</v>
      </c>
      <c r="T123">
        <v>3.2</v>
      </c>
    </row>
    <row r="124" spans="1:20">
      <c r="A124" t="s">
        <v>192</v>
      </c>
      <c r="B124" s="3">
        <v>45381</v>
      </c>
      <c r="C124" t="s">
        <v>19</v>
      </c>
      <c r="D124" t="s">
        <v>28</v>
      </c>
      <c r="E124" t="s">
        <v>70</v>
      </c>
      <c r="F124" t="s">
        <v>22</v>
      </c>
      <c r="G124" t="s">
        <v>42</v>
      </c>
      <c r="H124">
        <v>3</v>
      </c>
      <c r="I124">
        <v>722.19</v>
      </c>
      <c r="J124">
        <v>531.82000000000005</v>
      </c>
      <c r="K124">
        <f t="shared" si="6"/>
        <v>2166.5700000000002</v>
      </c>
      <c r="L124">
        <v>0.2</v>
      </c>
      <c r="M124">
        <f t="shared" si="7"/>
        <v>433.31400000000008</v>
      </c>
      <c r="N124">
        <f t="shared" si="8"/>
        <v>1733.2560000000001</v>
      </c>
      <c r="O124">
        <f t="shared" si="9"/>
        <v>1595.46</v>
      </c>
      <c r="P124">
        <f t="shared" si="10"/>
        <v>137.79600000000005</v>
      </c>
      <c r="Q124">
        <f t="shared" si="11"/>
        <v>7.9501239286060486</v>
      </c>
      <c r="R124" t="s">
        <v>51</v>
      </c>
      <c r="S124" t="s">
        <v>41</v>
      </c>
      <c r="T124">
        <v>3.5</v>
      </c>
    </row>
    <row r="125" spans="1:20">
      <c r="A125" t="s">
        <v>193</v>
      </c>
      <c r="B125" s="3">
        <v>45381</v>
      </c>
      <c r="C125" t="s">
        <v>19</v>
      </c>
      <c r="D125" t="s">
        <v>30</v>
      </c>
      <c r="E125" t="s">
        <v>86</v>
      </c>
      <c r="F125" t="s">
        <v>23</v>
      </c>
      <c r="G125" t="s">
        <v>38</v>
      </c>
      <c r="H125">
        <v>37</v>
      </c>
      <c r="I125">
        <v>1472.86</v>
      </c>
      <c r="J125">
        <v>1227.6199999999999</v>
      </c>
      <c r="K125">
        <f t="shared" si="6"/>
        <v>54495.82</v>
      </c>
      <c r="L125">
        <v>0.15</v>
      </c>
      <c r="M125">
        <f t="shared" si="7"/>
        <v>8174.3729999999996</v>
      </c>
      <c r="N125">
        <f t="shared" si="8"/>
        <v>46321.447</v>
      </c>
      <c r="O125">
        <f t="shared" si="9"/>
        <v>45421.939999999995</v>
      </c>
      <c r="P125">
        <f t="shared" si="10"/>
        <v>899.50700000000506</v>
      </c>
      <c r="Q125">
        <f t="shared" si="11"/>
        <v>1.9418801834925516</v>
      </c>
      <c r="R125" t="s">
        <v>49</v>
      </c>
      <c r="S125" t="s">
        <v>43</v>
      </c>
      <c r="T125">
        <v>5</v>
      </c>
    </row>
    <row r="126" spans="1:20">
      <c r="A126" t="s">
        <v>194</v>
      </c>
      <c r="B126" s="3">
        <v>45381</v>
      </c>
      <c r="C126" t="s">
        <v>19</v>
      </c>
      <c r="D126" t="s">
        <v>30</v>
      </c>
      <c r="E126" t="s">
        <v>70</v>
      </c>
      <c r="F126" t="s">
        <v>20</v>
      </c>
      <c r="G126" t="s">
        <v>31</v>
      </c>
      <c r="H126">
        <v>22</v>
      </c>
      <c r="I126">
        <v>307.92</v>
      </c>
      <c r="J126">
        <v>167.21</v>
      </c>
      <c r="K126">
        <f t="shared" si="6"/>
        <v>6774.2400000000007</v>
      </c>
      <c r="L126">
        <v>0.1</v>
      </c>
      <c r="M126">
        <f t="shared" si="7"/>
        <v>677.42400000000009</v>
      </c>
      <c r="N126">
        <f t="shared" si="8"/>
        <v>6096.8160000000007</v>
      </c>
      <c r="O126">
        <f t="shared" si="9"/>
        <v>3678.6200000000003</v>
      </c>
      <c r="P126">
        <f t="shared" si="10"/>
        <v>2418.1960000000004</v>
      </c>
      <c r="Q126">
        <f t="shared" si="11"/>
        <v>39.663260298490229</v>
      </c>
      <c r="R126" t="s">
        <v>51</v>
      </c>
      <c r="S126" t="s">
        <v>45</v>
      </c>
      <c r="T126">
        <v>4.9000000000000004</v>
      </c>
    </row>
    <row r="127" spans="1:20">
      <c r="A127" t="s">
        <v>195</v>
      </c>
      <c r="B127" s="3">
        <v>45382</v>
      </c>
      <c r="C127" t="s">
        <v>19</v>
      </c>
      <c r="D127" t="s">
        <v>30</v>
      </c>
      <c r="E127" t="s">
        <v>70</v>
      </c>
      <c r="F127" t="s">
        <v>22</v>
      </c>
      <c r="G127" t="s">
        <v>33</v>
      </c>
      <c r="H127">
        <v>39</v>
      </c>
      <c r="I127">
        <v>814.82</v>
      </c>
      <c r="J127">
        <v>582.25</v>
      </c>
      <c r="K127">
        <f t="shared" si="6"/>
        <v>31777.980000000003</v>
      </c>
      <c r="L127">
        <v>0.05</v>
      </c>
      <c r="M127">
        <f t="shared" si="7"/>
        <v>1588.8990000000003</v>
      </c>
      <c r="N127">
        <f t="shared" si="8"/>
        <v>30189.081000000002</v>
      </c>
      <c r="O127">
        <f t="shared" si="9"/>
        <v>22707.75</v>
      </c>
      <c r="P127">
        <f t="shared" si="10"/>
        <v>7481.3310000000019</v>
      </c>
      <c r="Q127">
        <f t="shared" si="11"/>
        <v>24.781579141147098</v>
      </c>
      <c r="R127" t="s">
        <v>50</v>
      </c>
      <c r="S127" t="s">
        <v>43</v>
      </c>
      <c r="T127">
        <v>4.8</v>
      </c>
    </row>
    <row r="128" spans="1:20">
      <c r="A128" t="s">
        <v>196</v>
      </c>
      <c r="B128" s="3">
        <v>45382</v>
      </c>
      <c r="C128" t="s">
        <v>19</v>
      </c>
      <c r="D128" t="s">
        <v>30</v>
      </c>
      <c r="E128" t="s">
        <v>70</v>
      </c>
      <c r="F128" t="s">
        <v>23</v>
      </c>
      <c r="G128" t="s">
        <v>37</v>
      </c>
      <c r="H128">
        <v>27</v>
      </c>
      <c r="I128">
        <v>562.38</v>
      </c>
      <c r="J128">
        <v>409.02</v>
      </c>
      <c r="K128">
        <f t="shared" si="6"/>
        <v>15184.26</v>
      </c>
      <c r="L128">
        <v>0</v>
      </c>
      <c r="M128">
        <f t="shared" si="7"/>
        <v>0</v>
      </c>
      <c r="N128">
        <f t="shared" si="8"/>
        <v>15184.26</v>
      </c>
      <c r="O128">
        <f t="shared" si="9"/>
        <v>11043.539999999999</v>
      </c>
      <c r="P128">
        <f t="shared" si="10"/>
        <v>4140.7200000000012</v>
      </c>
      <c r="Q128">
        <f t="shared" si="11"/>
        <v>27.269817561079705</v>
      </c>
      <c r="R128" t="s">
        <v>50</v>
      </c>
      <c r="S128" t="s">
        <v>43</v>
      </c>
      <c r="T128">
        <v>5</v>
      </c>
    </row>
    <row r="129" spans="1:20">
      <c r="A129" t="s">
        <v>197</v>
      </c>
      <c r="B129" s="3">
        <v>45382</v>
      </c>
      <c r="C129" t="s">
        <v>19</v>
      </c>
      <c r="D129" t="s">
        <v>26</v>
      </c>
      <c r="E129" t="s">
        <v>86</v>
      </c>
      <c r="F129" t="s">
        <v>24</v>
      </c>
      <c r="G129" t="s">
        <v>46</v>
      </c>
      <c r="H129">
        <v>31</v>
      </c>
      <c r="I129">
        <v>568.44000000000005</v>
      </c>
      <c r="J129">
        <v>300.05</v>
      </c>
      <c r="K129">
        <f t="shared" si="6"/>
        <v>17621.640000000003</v>
      </c>
      <c r="L129">
        <v>0.05</v>
      </c>
      <c r="M129">
        <f t="shared" si="7"/>
        <v>881.08200000000022</v>
      </c>
      <c r="N129">
        <f t="shared" si="8"/>
        <v>16740.558000000005</v>
      </c>
      <c r="O129">
        <f t="shared" si="9"/>
        <v>9301.5500000000011</v>
      </c>
      <c r="P129">
        <f t="shared" si="10"/>
        <v>7439.0080000000034</v>
      </c>
      <c r="Q129">
        <f t="shared" si="11"/>
        <v>44.437037283942395</v>
      </c>
      <c r="R129" t="s">
        <v>49</v>
      </c>
      <c r="S129" t="s">
        <v>41</v>
      </c>
      <c r="T129">
        <v>4.0999999999999996</v>
      </c>
    </row>
    <row r="130" spans="1:20">
      <c r="A130" t="s">
        <v>198</v>
      </c>
      <c r="B130" s="3">
        <v>45382</v>
      </c>
      <c r="C130" t="s">
        <v>19</v>
      </c>
      <c r="D130" t="s">
        <v>32</v>
      </c>
      <c r="E130" t="s">
        <v>68</v>
      </c>
      <c r="F130" t="s">
        <v>22</v>
      </c>
      <c r="G130" t="s">
        <v>33</v>
      </c>
      <c r="H130">
        <v>27</v>
      </c>
      <c r="I130">
        <v>1071.93</v>
      </c>
      <c r="J130">
        <v>856.05</v>
      </c>
      <c r="K130">
        <f t="shared" ref="K130:K193" si="12">H130*I130</f>
        <v>28942.11</v>
      </c>
      <c r="L130">
        <v>0</v>
      </c>
      <c r="M130">
        <f t="shared" ref="M130:M193" si="13">K130*L130</f>
        <v>0</v>
      </c>
      <c r="N130">
        <f t="shared" ref="N130:N193" si="14">K130-M130</f>
        <v>28942.11</v>
      </c>
      <c r="O130">
        <f t="shared" ref="O130:O193" si="15">H130*J130</f>
        <v>23113.35</v>
      </c>
      <c r="P130">
        <f t="shared" ref="P130:P193" si="16">N130-O130</f>
        <v>5828.760000000002</v>
      </c>
      <c r="Q130">
        <f t="shared" ref="Q130:Q193" si="17">IFERROR(P130/N130*100,0)</f>
        <v>20.139374772606427</v>
      </c>
      <c r="R130" t="s">
        <v>51</v>
      </c>
      <c r="S130" t="s">
        <v>47</v>
      </c>
      <c r="T130">
        <v>4</v>
      </c>
    </row>
    <row r="131" spans="1:20">
      <c r="A131" t="s">
        <v>199</v>
      </c>
      <c r="B131" s="3">
        <v>45383</v>
      </c>
      <c r="C131" t="s">
        <v>19</v>
      </c>
      <c r="D131" t="s">
        <v>26</v>
      </c>
      <c r="E131" t="s">
        <v>68</v>
      </c>
      <c r="F131" t="s">
        <v>24</v>
      </c>
      <c r="G131" t="s">
        <v>40</v>
      </c>
      <c r="H131">
        <v>41</v>
      </c>
      <c r="I131">
        <v>72.849999999999994</v>
      </c>
      <c r="J131">
        <v>43.55</v>
      </c>
      <c r="K131">
        <f t="shared" si="12"/>
        <v>2986.85</v>
      </c>
      <c r="L131">
        <v>0</v>
      </c>
      <c r="M131">
        <f t="shared" si="13"/>
        <v>0</v>
      </c>
      <c r="N131">
        <f t="shared" si="14"/>
        <v>2986.85</v>
      </c>
      <c r="O131">
        <f t="shared" si="15"/>
        <v>1785.55</v>
      </c>
      <c r="P131">
        <f t="shared" si="16"/>
        <v>1201.3</v>
      </c>
      <c r="Q131">
        <f t="shared" si="17"/>
        <v>40.219629375428958</v>
      </c>
      <c r="R131" t="s">
        <v>49</v>
      </c>
      <c r="S131" t="s">
        <v>45</v>
      </c>
      <c r="T131">
        <v>3.8</v>
      </c>
    </row>
    <row r="132" spans="1:20">
      <c r="A132" t="s">
        <v>200</v>
      </c>
      <c r="B132" s="3">
        <v>45383</v>
      </c>
      <c r="C132" t="s">
        <v>19</v>
      </c>
      <c r="D132" t="s">
        <v>28</v>
      </c>
      <c r="E132" t="s">
        <v>68</v>
      </c>
      <c r="F132" t="s">
        <v>20</v>
      </c>
      <c r="G132" t="s">
        <v>34</v>
      </c>
      <c r="H132">
        <v>25</v>
      </c>
      <c r="I132">
        <v>1476.34</v>
      </c>
      <c r="J132">
        <v>731.74</v>
      </c>
      <c r="K132">
        <f t="shared" si="12"/>
        <v>36908.5</v>
      </c>
      <c r="L132">
        <v>0.1</v>
      </c>
      <c r="M132">
        <f t="shared" si="13"/>
        <v>3690.8500000000004</v>
      </c>
      <c r="N132">
        <f t="shared" si="14"/>
        <v>33217.65</v>
      </c>
      <c r="O132">
        <f t="shared" si="15"/>
        <v>18293.5</v>
      </c>
      <c r="P132">
        <f t="shared" si="16"/>
        <v>14924.150000000001</v>
      </c>
      <c r="Q132">
        <f t="shared" si="17"/>
        <v>44.928373921695247</v>
      </c>
      <c r="R132" t="s">
        <v>49</v>
      </c>
      <c r="S132" t="s">
        <v>45</v>
      </c>
      <c r="T132">
        <v>3.9</v>
      </c>
    </row>
    <row r="133" spans="1:20">
      <c r="A133" t="s">
        <v>201</v>
      </c>
      <c r="B133" s="3">
        <v>45383</v>
      </c>
      <c r="C133" t="s">
        <v>19</v>
      </c>
      <c r="D133" t="s">
        <v>28</v>
      </c>
      <c r="E133" t="s">
        <v>68</v>
      </c>
      <c r="F133" t="s">
        <v>23</v>
      </c>
      <c r="G133" t="s">
        <v>37</v>
      </c>
      <c r="H133">
        <v>20</v>
      </c>
      <c r="I133">
        <v>1462.44</v>
      </c>
      <c r="J133">
        <v>1194.3499999999999</v>
      </c>
      <c r="K133">
        <f t="shared" si="12"/>
        <v>29248.800000000003</v>
      </c>
      <c r="L133">
        <v>0.05</v>
      </c>
      <c r="M133">
        <f t="shared" si="13"/>
        <v>1462.4400000000003</v>
      </c>
      <c r="N133">
        <f t="shared" si="14"/>
        <v>27786.360000000004</v>
      </c>
      <c r="O133">
        <f t="shared" si="15"/>
        <v>23887</v>
      </c>
      <c r="P133">
        <f t="shared" si="16"/>
        <v>3899.3600000000042</v>
      </c>
      <c r="Q133">
        <f t="shared" si="17"/>
        <v>14.033360253016241</v>
      </c>
      <c r="R133" t="s">
        <v>49</v>
      </c>
      <c r="S133" t="s">
        <v>45</v>
      </c>
      <c r="T133">
        <v>3</v>
      </c>
    </row>
    <row r="134" spans="1:20">
      <c r="A134" t="s">
        <v>202</v>
      </c>
      <c r="B134" s="3">
        <v>45384</v>
      </c>
      <c r="C134" t="s">
        <v>19</v>
      </c>
      <c r="D134" t="s">
        <v>30</v>
      </c>
      <c r="E134" t="s">
        <v>70</v>
      </c>
      <c r="F134" t="s">
        <v>24</v>
      </c>
      <c r="G134" t="s">
        <v>46</v>
      </c>
      <c r="H134">
        <v>36</v>
      </c>
      <c r="I134">
        <v>299.36</v>
      </c>
      <c r="J134">
        <v>202.38</v>
      </c>
      <c r="K134">
        <f t="shared" si="12"/>
        <v>10776.960000000001</v>
      </c>
      <c r="L134">
        <v>0</v>
      </c>
      <c r="M134">
        <f t="shared" si="13"/>
        <v>0</v>
      </c>
      <c r="N134">
        <f t="shared" si="14"/>
        <v>10776.960000000001</v>
      </c>
      <c r="O134">
        <f t="shared" si="15"/>
        <v>7285.68</v>
      </c>
      <c r="P134">
        <f t="shared" si="16"/>
        <v>3491.2800000000007</v>
      </c>
      <c r="Q134">
        <f t="shared" si="17"/>
        <v>32.39577765900588</v>
      </c>
      <c r="R134" t="s">
        <v>50</v>
      </c>
      <c r="S134" t="s">
        <v>47</v>
      </c>
      <c r="T134">
        <v>4.5999999999999996</v>
      </c>
    </row>
    <row r="135" spans="1:20">
      <c r="A135" t="s">
        <v>203</v>
      </c>
      <c r="B135" s="3">
        <v>45384</v>
      </c>
      <c r="C135" t="s">
        <v>19</v>
      </c>
      <c r="D135" t="s">
        <v>32</v>
      </c>
      <c r="E135" t="s">
        <v>70</v>
      </c>
      <c r="F135" t="s">
        <v>24</v>
      </c>
      <c r="G135" t="s">
        <v>40</v>
      </c>
      <c r="H135">
        <v>7</v>
      </c>
      <c r="I135">
        <v>1277.69</v>
      </c>
      <c r="J135">
        <v>808.11</v>
      </c>
      <c r="K135">
        <f t="shared" si="12"/>
        <v>8943.83</v>
      </c>
      <c r="L135">
        <v>0</v>
      </c>
      <c r="M135">
        <f t="shared" si="13"/>
        <v>0</v>
      </c>
      <c r="N135">
        <f t="shared" si="14"/>
        <v>8943.83</v>
      </c>
      <c r="O135">
        <f t="shared" si="15"/>
        <v>5656.77</v>
      </c>
      <c r="P135">
        <f t="shared" si="16"/>
        <v>3287.0599999999995</v>
      </c>
      <c r="Q135">
        <f t="shared" si="17"/>
        <v>36.752263851168905</v>
      </c>
      <c r="R135" t="s">
        <v>50</v>
      </c>
      <c r="S135" t="s">
        <v>43</v>
      </c>
      <c r="T135">
        <v>3.2</v>
      </c>
    </row>
    <row r="136" spans="1:20">
      <c r="A136" t="s">
        <v>204</v>
      </c>
      <c r="B136" s="3">
        <v>45385</v>
      </c>
      <c r="C136" t="s">
        <v>19</v>
      </c>
      <c r="D136" t="s">
        <v>28</v>
      </c>
      <c r="E136" t="s">
        <v>68</v>
      </c>
      <c r="F136" t="s">
        <v>23</v>
      </c>
      <c r="G136" t="s">
        <v>37</v>
      </c>
      <c r="H136">
        <v>26</v>
      </c>
      <c r="I136">
        <v>713.6</v>
      </c>
      <c r="J136">
        <v>505.63</v>
      </c>
      <c r="K136">
        <f t="shared" si="12"/>
        <v>18553.600000000002</v>
      </c>
      <c r="L136">
        <v>0.1</v>
      </c>
      <c r="M136">
        <f t="shared" si="13"/>
        <v>1855.3600000000004</v>
      </c>
      <c r="N136">
        <f t="shared" si="14"/>
        <v>16698.240000000002</v>
      </c>
      <c r="O136">
        <f t="shared" si="15"/>
        <v>13146.38</v>
      </c>
      <c r="P136">
        <f t="shared" si="16"/>
        <v>3551.8600000000024</v>
      </c>
      <c r="Q136">
        <f t="shared" si="17"/>
        <v>21.270864474339824</v>
      </c>
      <c r="R136" t="s">
        <v>50</v>
      </c>
      <c r="S136" t="s">
        <v>41</v>
      </c>
      <c r="T136">
        <v>3.1</v>
      </c>
    </row>
    <row r="137" spans="1:20">
      <c r="A137" t="s">
        <v>205</v>
      </c>
      <c r="B137" s="3">
        <v>45385</v>
      </c>
      <c r="C137" t="s">
        <v>19</v>
      </c>
      <c r="D137" t="s">
        <v>32</v>
      </c>
      <c r="E137" t="s">
        <v>68</v>
      </c>
      <c r="F137" t="s">
        <v>23</v>
      </c>
      <c r="G137" t="s">
        <v>38</v>
      </c>
      <c r="H137">
        <v>40</v>
      </c>
      <c r="I137">
        <v>352.84</v>
      </c>
      <c r="J137">
        <v>282.81</v>
      </c>
      <c r="K137">
        <f t="shared" si="12"/>
        <v>14113.599999999999</v>
      </c>
      <c r="L137">
        <v>0</v>
      </c>
      <c r="M137">
        <f t="shared" si="13"/>
        <v>0</v>
      </c>
      <c r="N137">
        <f t="shared" si="14"/>
        <v>14113.599999999999</v>
      </c>
      <c r="O137">
        <f t="shared" si="15"/>
        <v>11312.4</v>
      </c>
      <c r="P137">
        <f t="shared" si="16"/>
        <v>2801.1999999999989</v>
      </c>
      <c r="Q137">
        <f t="shared" si="17"/>
        <v>19.847522956580882</v>
      </c>
      <c r="R137" t="s">
        <v>51</v>
      </c>
      <c r="S137" t="s">
        <v>43</v>
      </c>
      <c r="T137">
        <v>3.2</v>
      </c>
    </row>
    <row r="138" spans="1:20">
      <c r="A138" t="s">
        <v>206</v>
      </c>
      <c r="B138" s="3">
        <v>45387</v>
      </c>
      <c r="C138" t="s">
        <v>19</v>
      </c>
      <c r="D138" t="s">
        <v>30</v>
      </c>
      <c r="E138" t="s">
        <v>70</v>
      </c>
      <c r="F138" t="s">
        <v>22</v>
      </c>
      <c r="G138" t="s">
        <v>33</v>
      </c>
      <c r="H138">
        <v>4</v>
      </c>
      <c r="I138">
        <v>1206.6099999999999</v>
      </c>
      <c r="J138">
        <v>840.09</v>
      </c>
      <c r="K138">
        <f t="shared" si="12"/>
        <v>4826.4399999999996</v>
      </c>
      <c r="L138">
        <v>0.2</v>
      </c>
      <c r="M138">
        <f t="shared" si="13"/>
        <v>965.28800000000001</v>
      </c>
      <c r="N138">
        <f t="shared" si="14"/>
        <v>3861.1519999999996</v>
      </c>
      <c r="O138">
        <f t="shared" si="15"/>
        <v>3360.36</v>
      </c>
      <c r="P138">
        <f t="shared" si="16"/>
        <v>500.79199999999946</v>
      </c>
      <c r="Q138">
        <f t="shared" si="17"/>
        <v>12.970015166458083</v>
      </c>
      <c r="R138" t="s">
        <v>49</v>
      </c>
      <c r="S138" t="s">
        <v>45</v>
      </c>
      <c r="T138">
        <v>4.3</v>
      </c>
    </row>
    <row r="139" spans="1:20">
      <c r="A139" t="s">
        <v>207</v>
      </c>
      <c r="B139" s="3">
        <v>45387</v>
      </c>
      <c r="C139" t="s">
        <v>19</v>
      </c>
      <c r="D139" t="s">
        <v>30</v>
      </c>
      <c r="E139" t="s">
        <v>68</v>
      </c>
      <c r="F139" t="s">
        <v>23</v>
      </c>
      <c r="G139" t="s">
        <v>38</v>
      </c>
      <c r="H139">
        <v>6</v>
      </c>
      <c r="I139">
        <v>470.61</v>
      </c>
      <c r="J139">
        <v>350.39</v>
      </c>
      <c r="K139">
        <f t="shared" si="12"/>
        <v>2823.66</v>
      </c>
      <c r="L139">
        <v>0.05</v>
      </c>
      <c r="M139">
        <f t="shared" si="13"/>
        <v>141.18299999999999</v>
      </c>
      <c r="N139">
        <f t="shared" si="14"/>
        <v>2682.4769999999999</v>
      </c>
      <c r="O139">
        <f t="shared" si="15"/>
        <v>2102.34</v>
      </c>
      <c r="P139">
        <f t="shared" si="16"/>
        <v>580.13699999999972</v>
      </c>
      <c r="Q139">
        <f t="shared" si="17"/>
        <v>21.626914228901114</v>
      </c>
      <c r="R139" t="s">
        <v>50</v>
      </c>
      <c r="S139" t="s">
        <v>45</v>
      </c>
      <c r="T139">
        <v>3.9</v>
      </c>
    </row>
    <row r="140" spans="1:20">
      <c r="A140" t="s">
        <v>208</v>
      </c>
      <c r="B140" s="3">
        <v>45387</v>
      </c>
      <c r="C140" t="s">
        <v>19</v>
      </c>
      <c r="D140" t="s">
        <v>26</v>
      </c>
      <c r="E140" t="s">
        <v>70</v>
      </c>
      <c r="F140" t="s">
        <v>22</v>
      </c>
      <c r="G140" t="s">
        <v>42</v>
      </c>
      <c r="H140">
        <v>17</v>
      </c>
      <c r="I140">
        <v>544.17999999999995</v>
      </c>
      <c r="J140">
        <v>395.77</v>
      </c>
      <c r="K140">
        <f t="shared" si="12"/>
        <v>9251.06</v>
      </c>
      <c r="L140">
        <v>0.05</v>
      </c>
      <c r="M140">
        <f t="shared" si="13"/>
        <v>462.553</v>
      </c>
      <c r="N140">
        <f t="shared" si="14"/>
        <v>8788.5069999999996</v>
      </c>
      <c r="O140">
        <f t="shared" si="15"/>
        <v>6728.09</v>
      </c>
      <c r="P140">
        <f t="shared" si="16"/>
        <v>2060.4169999999995</v>
      </c>
      <c r="Q140">
        <f t="shared" si="17"/>
        <v>23.444448528060562</v>
      </c>
      <c r="R140" t="s">
        <v>49</v>
      </c>
      <c r="S140" t="s">
        <v>43</v>
      </c>
      <c r="T140">
        <v>4.4000000000000004</v>
      </c>
    </row>
    <row r="141" spans="1:20">
      <c r="A141" t="s">
        <v>209</v>
      </c>
      <c r="B141" s="3">
        <v>45387</v>
      </c>
      <c r="C141" t="s">
        <v>19</v>
      </c>
      <c r="D141" t="s">
        <v>30</v>
      </c>
      <c r="E141" t="s">
        <v>68</v>
      </c>
      <c r="F141" t="s">
        <v>23</v>
      </c>
      <c r="G141" t="s">
        <v>44</v>
      </c>
      <c r="H141">
        <v>7</v>
      </c>
      <c r="I141">
        <v>179.41</v>
      </c>
      <c r="J141">
        <v>126.35</v>
      </c>
      <c r="K141">
        <f t="shared" si="12"/>
        <v>1255.8699999999999</v>
      </c>
      <c r="L141">
        <v>0.05</v>
      </c>
      <c r="M141">
        <f t="shared" si="13"/>
        <v>62.793499999999995</v>
      </c>
      <c r="N141">
        <f t="shared" si="14"/>
        <v>1193.0764999999999</v>
      </c>
      <c r="O141">
        <f t="shared" si="15"/>
        <v>884.44999999999993</v>
      </c>
      <c r="P141">
        <f t="shared" si="16"/>
        <v>308.62649999999996</v>
      </c>
      <c r="Q141">
        <f t="shared" si="17"/>
        <v>25.868123293015998</v>
      </c>
      <c r="R141" t="s">
        <v>51</v>
      </c>
      <c r="S141" t="s">
        <v>41</v>
      </c>
      <c r="T141">
        <v>3.4</v>
      </c>
    </row>
    <row r="142" spans="1:20">
      <c r="A142" t="s">
        <v>210</v>
      </c>
      <c r="B142" s="3">
        <v>45387</v>
      </c>
      <c r="C142" t="s">
        <v>19</v>
      </c>
      <c r="D142" t="s">
        <v>26</v>
      </c>
      <c r="E142" t="s">
        <v>68</v>
      </c>
      <c r="F142" t="s">
        <v>23</v>
      </c>
      <c r="G142" t="s">
        <v>37</v>
      </c>
      <c r="H142">
        <v>46</v>
      </c>
      <c r="I142">
        <v>620.26</v>
      </c>
      <c r="J142">
        <v>437.68</v>
      </c>
      <c r="K142">
        <f t="shared" si="12"/>
        <v>28531.96</v>
      </c>
      <c r="L142">
        <v>0.15</v>
      </c>
      <c r="M142">
        <f t="shared" si="13"/>
        <v>4279.7939999999999</v>
      </c>
      <c r="N142">
        <f t="shared" si="14"/>
        <v>24252.165999999997</v>
      </c>
      <c r="O142">
        <f t="shared" si="15"/>
        <v>20133.28</v>
      </c>
      <c r="P142">
        <f t="shared" si="16"/>
        <v>4118.8859999999986</v>
      </c>
      <c r="Q142">
        <f t="shared" si="17"/>
        <v>16.983579940859713</v>
      </c>
      <c r="R142" t="s">
        <v>50</v>
      </c>
      <c r="S142" t="s">
        <v>41</v>
      </c>
      <c r="T142">
        <v>3.4</v>
      </c>
    </row>
    <row r="143" spans="1:20">
      <c r="A143" t="s">
        <v>211</v>
      </c>
      <c r="B143" s="3">
        <v>45389</v>
      </c>
      <c r="C143" t="s">
        <v>19</v>
      </c>
      <c r="D143" t="s">
        <v>28</v>
      </c>
      <c r="E143" t="s">
        <v>68</v>
      </c>
      <c r="F143" t="s">
        <v>23</v>
      </c>
      <c r="G143" t="s">
        <v>38</v>
      </c>
      <c r="H143">
        <v>2</v>
      </c>
      <c r="I143">
        <v>88.79</v>
      </c>
      <c r="J143">
        <v>72.12</v>
      </c>
      <c r="K143">
        <f t="shared" si="12"/>
        <v>177.58</v>
      </c>
      <c r="L143">
        <v>0</v>
      </c>
      <c r="M143">
        <f t="shared" si="13"/>
        <v>0</v>
      </c>
      <c r="N143">
        <f t="shared" si="14"/>
        <v>177.58</v>
      </c>
      <c r="O143">
        <f t="shared" si="15"/>
        <v>144.24</v>
      </c>
      <c r="P143">
        <f t="shared" si="16"/>
        <v>33.340000000000003</v>
      </c>
      <c r="Q143">
        <f t="shared" si="17"/>
        <v>18.77463678342156</v>
      </c>
      <c r="R143" t="s">
        <v>50</v>
      </c>
      <c r="S143" t="s">
        <v>47</v>
      </c>
      <c r="T143">
        <v>3.9</v>
      </c>
    </row>
    <row r="144" spans="1:20">
      <c r="A144" t="s">
        <v>212</v>
      </c>
      <c r="B144" s="3">
        <v>45390</v>
      </c>
      <c r="C144" t="s">
        <v>19</v>
      </c>
      <c r="D144" t="s">
        <v>30</v>
      </c>
      <c r="E144" t="s">
        <v>68</v>
      </c>
      <c r="F144" t="s">
        <v>23</v>
      </c>
      <c r="G144" t="s">
        <v>44</v>
      </c>
      <c r="H144">
        <v>50</v>
      </c>
      <c r="I144">
        <v>1055.23</v>
      </c>
      <c r="J144">
        <v>818.24</v>
      </c>
      <c r="K144">
        <f t="shared" si="12"/>
        <v>52761.5</v>
      </c>
      <c r="L144">
        <v>0.1</v>
      </c>
      <c r="M144">
        <f t="shared" si="13"/>
        <v>5276.1500000000005</v>
      </c>
      <c r="N144">
        <f t="shared" si="14"/>
        <v>47485.35</v>
      </c>
      <c r="O144">
        <f t="shared" si="15"/>
        <v>40912</v>
      </c>
      <c r="P144">
        <f t="shared" si="16"/>
        <v>6573.3499999999985</v>
      </c>
      <c r="Q144">
        <f t="shared" si="17"/>
        <v>13.842901021051754</v>
      </c>
      <c r="R144" t="s">
        <v>50</v>
      </c>
      <c r="S144" t="s">
        <v>43</v>
      </c>
      <c r="T144">
        <v>3.3</v>
      </c>
    </row>
    <row r="145" spans="1:20">
      <c r="A145" t="s">
        <v>213</v>
      </c>
      <c r="B145" s="3">
        <v>45390</v>
      </c>
      <c r="C145" t="s">
        <v>19</v>
      </c>
      <c r="D145" t="s">
        <v>28</v>
      </c>
      <c r="E145" t="s">
        <v>70</v>
      </c>
      <c r="F145" t="s">
        <v>23</v>
      </c>
      <c r="G145" t="s">
        <v>37</v>
      </c>
      <c r="H145">
        <v>50</v>
      </c>
      <c r="I145">
        <v>961.51</v>
      </c>
      <c r="J145">
        <v>773.89</v>
      </c>
      <c r="K145">
        <f t="shared" si="12"/>
        <v>48075.5</v>
      </c>
      <c r="L145">
        <v>0.05</v>
      </c>
      <c r="M145">
        <f t="shared" si="13"/>
        <v>2403.7750000000001</v>
      </c>
      <c r="N145">
        <f t="shared" si="14"/>
        <v>45671.724999999999</v>
      </c>
      <c r="O145">
        <f t="shared" si="15"/>
        <v>38694.5</v>
      </c>
      <c r="P145">
        <f t="shared" si="16"/>
        <v>6977.2249999999985</v>
      </c>
      <c r="Q145">
        <f t="shared" si="17"/>
        <v>15.276902722636375</v>
      </c>
      <c r="R145" t="s">
        <v>49</v>
      </c>
      <c r="S145" t="s">
        <v>43</v>
      </c>
      <c r="T145">
        <v>4.7</v>
      </c>
    </row>
    <row r="146" spans="1:20">
      <c r="A146" t="s">
        <v>214</v>
      </c>
      <c r="B146" s="3">
        <v>45390</v>
      </c>
      <c r="C146" t="s">
        <v>19</v>
      </c>
      <c r="D146" t="s">
        <v>28</v>
      </c>
      <c r="E146" t="s">
        <v>86</v>
      </c>
      <c r="F146" t="s">
        <v>23</v>
      </c>
      <c r="G146" t="s">
        <v>37</v>
      </c>
      <c r="H146">
        <v>19</v>
      </c>
      <c r="I146">
        <v>712.63</v>
      </c>
      <c r="J146">
        <v>575.29</v>
      </c>
      <c r="K146">
        <f t="shared" si="12"/>
        <v>13539.97</v>
      </c>
      <c r="L146">
        <v>0</v>
      </c>
      <c r="M146">
        <f t="shared" si="13"/>
        <v>0</v>
      </c>
      <c r="N146">
        <f t="shared" si="14"/>
        <v>13539.97</v>
      </c>
      <c r="O146">
        <f t="shared" si="15"/>
        <v>10930.509999999998</v>
      </c>
      <c r="P146">
        <f t="shared" si="16"/>
        <v>2609.4600000000009</v>
      </c>
      <c r="Q146">
        <f t="shared" si="17"/>
        <v>19.272273129113294</v>
      </c>
      <c r="R146" t="s">
        <v>49</v>
      </c>
      <c r="S146" t="s">
        <v>41</v>
      </c>
      <c r="T146">
        <v>3.9</v>
      </c>
    </row>
    <row r="147" spans="1:20">
      <c r="A147" t="s">
        <v>215</v>
      </c>
      <c r="B147" s="3">
        <v>45391</v>
      </c>
      <c r="C147" t="s">
        <v>19</v>
      </c>
      <c r="D147" t="s">
        <v>28</v>
      </c>
      <c r="E147" t="s">
        <v>70</v>
      </c>
      <c r="F147" t="s">
        <v>23</v>
      </c>
      <c r="G147" t="s">
        <v>38</v>
      </c>
      <c r="H147">
        <v>46</v>
      </c>
      <c r="I147">
        <v>971.75</v>
      </c>
      <c r="J147">
        <v>820.61</v>
      </c>
      <c r="K147">
        <f t="shared" si="12"/>
        <v>44700.5</v>
      </c>
      <c r="L147">
        <v>0.2</v>
      </c>
      <c r="M147">
        <f t="shared" si="13"/>
        <v>8940.1</v>
      </c>
      <c r="N147">
        <f t="shared" si="14"/>
        <v>35760.400000000001</v>
      </c>
      <c r="O147">
        <f t="shared" si="15"/>
        <v>37748.06</v>
      </c>
      <c r="P147">
        <f t="shared" si="16"/>
        <v>-1987.6599999999962</v>
      </c>
      <c r="Q147">
        <f t="shared" si="17"/>
        <v>-5.5582711602778385</v>
      </c>
      <c r="R147" t="s">
        <v>50</v>
      </c>
      <c r="S147" t="s">
        <v>41</v>
      </c>
      <c r="T147">
        <v>3.5</v>
      </c>
    </row>
    <row r="148" spans="1:20">
      <c r="A148" t="s">
        <v>216</v>
      </c>
      <c r="B148" s="3">
        <v>45391</v>
      </c>
      <c r="C148" t="s">
        <v>19</v>
      </c>
      <c r="D148" t="s">
        <v>26</v>
      </c>
      <c r="E148" t="s">
        <v>68</v>
      </c>
      <c r="F148" t="s">
        <v>24</v>
      </c>
      <c r="G148" t="s">
        <v>29</v>
      </c>
      <c r="H148">
        <v>44</v>
      </c>
      <c r="I148">
        <v>1385.89</v>
      </c>
      <c r="J148">
        <v>801.17</v>
      </c>
      <c r="K148">
        <f t="shared" si="12"/>
        <v>60979.16</v>
      </c>
      <c r="L148">
        <v>0.15</v>
      </c>
      <c r="M148">
        <f t="shared" si="13"/>
        <v>9146.8739999999998</v>
      </c>
      <c r="N148">
        <f t="shared" si="14"/>
        <v>51832.286000000007</v>
      </c>
      <c r="O148">
        <f t="shared" si="15"/>
        <v>35251.479999999996</v>
      </c>
      <c r="P148">
        <f t="shared" si="16"/>
        <v>16580.806000000011</v>
      </c>
      <c r="Q148">
        <f t="shared" si="17"/>
        <v>31.989339617396016</v>
      </c>
      <c r="R148" t="s">
        <v>49</v>
      </c>
      <c r="S148" t="s">
        <v>47</v>
      </c>
      <c r="T148">
        <v>4.4000000000000004</v>
      </c>
    </row>
    <row r="149" spans="1:20">
      <c r="A149" t="s">
        <v>217</v>
      </c>
      <c r="B149" s="3">
        <v>45392</v>
      </c>
      <c r="C149" t="s">
        <v>19</v>
      </c>
      <c r="D149" t="s">
        <v>30</v>
      </c>
      <c r="E149" t="s">
        <v>68</v>
      </c>
      <c r="F149" t="s">
        <v>24</v>
      </c>
      <c r="G149" t="s">
        <v>29</v>
      </c>
      <c r="H149">
        <v>45</v>
      </c>
      <c r="I149">
        <v>1198</v>
      </c>
      <c r="J149">
        <v>718.16</v>
      </c>
      <c r="K149">
        <f t="shared" si="12"/>
        <v>53910</v>
      </c>
      <c r="L149">
        <v>0.1</v>
      </c>
      <c r="M149">
        <f t="shared" si="13"/>
        <v>5391</v>
      </c>
      <c r="N149">
        <f t="shared" si="14"/>
        <v>48519</v>
      </c>
      <c r="O149">
        <f t="shared" si="15"/>
        <v>32317.199999999997</v>
      </c>
      <c r="P149">
        <f t="shared" si="16"/>
        <v>16201.800000000003</v>
      </c>
      <c r="Q149">
        <f t="shared" si="17"/>
        <v>33.392691522908557</v>
      </c>
      <c r="R149" t="s">
        <v>49</v>
      </c>
      <c r="S149" t="s">
        <v>43</v>
      </c>
      <c r="T149">
        <v>3.4</v>
      </c>
    </row>
    <row r="150" spans="1:20">
      <c r="A150" t="s">
        <v>218</v>
      </c>
      <c r="B150" s="3">
        <v>45392</v>
      </c>
      <c r="C150" t="s">
        <v>19</v>
      </c>
      <c r="D150" t="s">
        <v>26</v>
      </c>
      <c r="E150" t="s">
        <v>70</v>
      </c>
      <c r="F150" t="s">
        <v>24</v>
      </c>
      <c r="G150" t="s">
        <v>29</v>
      </c>
      <c r="H150">
        <v>38</v>
      </c>
      <c r="I150">
        <v>1021.42</v>
      </c>
      <c r="J150">
        <v>704.48</v>
      </c>
      <c r="K150">
        <f t="shared" si="12"/>
        <v>38813.96</v>
      </c>
      <c r="L150">
        <v>0.2</v>
      </c>
      <c r="M150">
        <f t="shared" si="13"/>
        <v>7762.7920000000004</v>
      </c>
      <c r="N150">
        <f t="shared" si="14"/>
        <v>31051.167999999998</v>
      </c>
      <c r="O150">
        <f t="shared" si="15"/>
        <v>26770.240000000002</v>
      </c>
      <c r="P150">
        <f t="shared" si="16"/>
        <v>4280.9279999999962</v>
      </c>
      <c r="Q150">
        <f t="shared" si="17"/>
        <v>13.78668911906952</v>
      </c>
      <c r="R150" t="s">
        <v>49</v>
      </c>
      <c r="S150" t="s">
        <v>45</v>
      </c>
      <c r="T150">
        <v>3.6</v>
      </c>
    </row>
    <row r="151" spans="1:20">
      <c r="A151" t="s">
        <v>219</v>
      </c>
      <c r="B151" s="3">
        <v>45393</v>
      </c>
      <c r="C151" t="s">
        <v>19</v>
      </c>
      <c r="D151" t="s">
        <v>30</v>
      </c>
      <c r="E151" t="s">
        <v>70</v>
      </c>
      <c r="F151" t="s">
        <v>24</v>
      </c>
      <c r="G151" t="s">
        <v>29</v>
      </c>
      <c r="H151">
        <v>47</v>
      </c>
      <c r="I151">
        <v>1057.81</v>
      </c>
      <c r="J151">
        <v>681.52</v>
      </c>
      <c r="K151">
        <f t="shared" si="12"/>
        <v>49717.07</v>
      </c>
      <c r="L151">
        <v>0.2</v>
      </c>
      <c r="M151">
        <f t="shared" si="13"/>
        <v>9943.4140000000007</v>
      </c>
      <c r="N151">
        <f t="shared" si="14"/>
        <v>39773.656000000003</v>
      </c>
      <c r="O151">
        <f t="shared" si="15"/>
        <v>32031.439999999999</v>
      </c>
      <c r="P151">
        <f t="shared" si="16"/>
        <v>7742.216000000004</v>
      </c>
      <c r="Q151">
        <f t="shared" si="17"/>
        <v>19.465688545201886</v>
      </c>
      <c r="R151" t="s">
        <v>50</v>
      </c>
      <c r="S151" t="s">
        <v>43</v>
      </c>
      <c r="T151">
        <v>4.5</v>
      </c>
    </row>
    <row r="152" spans="1:20">
      <c r="A152" t="s">
        <v>220</v>
      </c>
      <c r="B152" s="3">
        <v>45394</v>
      </c>
      <c r="C152" t="s">
        <v>19</v>
      </c>
      <c r="D152" t="s">
        <v>26</v>
      </c>
      <c r="E152" t="s">
        <v>68</v>
      </c>
      <c r="F152" t="s">
        <v>23</v>
      </c>
      <c r="G152" t="s">
        <v>44</v>
      </c>
      <c r="H152">
        <v>32</v>
      </c>
      <c r="I152">
        <v>387.37</v>
      </c>
      <c r="J152">
        <v>276.49</v>
      </c>
      <c r="K152">
        <f t="shared" si="12"/>
        <v>12395.84</v>
      </c>
      <c r="L152">
        <v>0.1</v>
      </c>
      <c r="M152">
        <f t="shared" si="13"/>
        <v>1239.5840000000001</v>
      </c>
      <c r="N152">
        <f t="shared" si="14"/>
        <v>11156.255999999999</v>
      </c>
      <c r="O152">
        <f t="shared" si="15"/>
        <v>8847.68</v>
      </c>
      <c r="P152">
        <f t="shared" si="16"/>
        <v>2308.5759999999991</v>
      </c>
      <c r="Q152">
        <f t="shared" si="17"/>
        <v>20.693107078216915</v>
      </c>
      <c r="R152" t="s">
        <v>49</v>
      </c>
      <c r="S152" t="s">
        <v>43</v>
      </c>
      <c r="T152">
        <v>4.9000000000000004</v>
      </c>
    </row>
    <row r="153" spans="1:20">
      <c r="A153" t="s">
        <v>221</v>
      </c>
      <c r="B153" s="3">
        <v>45394</v>
      </c>
      <c r="C153" t="s">
        <v>19</v>
      </c>
      <c r="D153" t="s">
        <v>30</v>
      </c>
      <c r="E153" t="s">
        <v>68</v>
      </c>
      <c r="F153" t="s">
        <v>24</v>
      </c>
      <c r="G153" t="s">
        <v>40</v>
      </c>
      <c r="H153">
        <v>11</v>
      </c>
      <c r="I153">
        <v>913.63</v>
      </c>
      <c r="J153">
        <v>595.77</v>
      </c>
      <c r="K153">
        <f t="shared" si="12"/>
        <v>10049.93</v>
      </c>
      <c r="L153">
        <v>0.15</v>
      </c>
      <c r="M153">
        <f t="shared" si="13"/>
        <v>1507.4894999999999</v>
      </c>
      <c r="N153">
        <f t="shared" si="14"/>
        <v>8542.4405000000006</v>
      </c>
      <c r="O153">
        <f t="shared" si="15"/>
        <v>6553.4699999999993</v>
      </c>
      <c r="P153">
        <f t="shared" si="16"/>
        <v>1988.9705000000013</v>
      </c>
      <c r="Q153">
        <f t="shared" si="17"/>
        <v>23.283398930317407</v>
      </c>
      <c r="R153" t="s">
        <v>49</v>
      </c>
      <c r="S153" t="s">
        <v>41</v>
      </c>
      <c r="T153">
        <v>3.9</v>
      </c>
    </row>
    <row r="154" spans="1:20">
      <c r="A154" t="s">
        <v>222</v>
      </c>
      <c r="B154" s="3">
        <v>45396</v>
      </c>
      <c r="C154" t="s">
        <v>19</v>
      </c>
      <c r="D154" t="s">
        <v>28</v>
      </c>
      <c r="E154" t="s">
        <v>70</v>
      </c>
      <c r="F154" t="s">
        <v>24</v>
      </c>
      <c r="G154" t="s">
        <v>40</v>
      </c>
      <c r="H154">
        <v>34</v>
      </c>
      <c r="I154">
        <v>520.76</v>
      </c>
      <c r="J154">
        <v>349.44</v>
      </c>
      <c r="K154">
        <f t="shared" si="12"/>
        <v>17705.84</v>
      </c>
      <c r="L154">
        <v>0.1</v>
      </c>
      <c r="M154">
        <f t="shared" si="13"/>
        <v>1770.5840000000001</v>
      </c>
      <c r="N154">
        <f t="shared" si="14"/>
        <v>15935.255999999999</v>
      </c>
      <c r="O154">
        <f t="shared" si="15"/>
        <v>11880.96</v>
      </c>
      <c r="P154">
        <f t="shared" si="16"/>
        <v>4054.2960000000003</v>
      </c>
      <c r="Q154">
        <f t="shared" si="17"/>
        <v>25.442302276160483</v>
      </c>
      <c r="R154" t="s">
        <v>50</v>
      </c>
      <c r="S154" t="s">
        <v>45</v>
      </c>
      <c r="T154">
        <v>3.1</v>
      </c>
    </row>
    <row r="155" spans="1:20">
      <c r="A155" t="s">
        <v>223</v>
      </c>
      <c r="B155" s="3">
        <v>45397</v>
      </c>
      <c r="C155" t="s">
        <v>19</v>
      </c>
      <c r="D155" t="s">
        <v>30</v>
      </c>
      <c r="E155" t="s">
        <v>68</v>
      </c>
      <c r="F155" t="s">
        <v>22</v>
      </c>
      <c r="G155" t="s">
        <v>35</v>
      </c>
      <c r="H155">
        <v>29</v>
      </c>
      <c r="I155">
        <v>1225.76</v>
      </c>
      <c r="J155">
        <v>860.62</v>
      </c>
      <c r="K155">
        <f t="shared" si="12"/>
        <v>35547.040000000001</v>
      </c>
      <c r="L155">
        <v>0.1</v>
      </c>
      <c r="M155">
        <f t="shared" si="13"/>
        <v>3554.7040000000002</v>
      </c>
      <c r="N155">
        <f t="shared" si="14"/>
        <v>31992.335999999999</v>
      </c>
      <c r="O155">
        <f t="shared" si="15"/>
        <v>24957.98</v>
      </c>
      <c r="P155">
        <f t="shared" si="16"/>
        <v>7034.3559999999998</v>
      </c>
      <c r="Q155">
        <f t="shared" si="17"/>
        <v>21.98762853703462</v>
      </c>
      <c r="R155" t="s">
        <v>50</v>
      </c>
      <c r="S155" t="s">
        <v>41</v>
      </c>
      <c r="T155">
        <v>3.3</v>
      </c>
    </row>
    <row r="156" spans="1:20">
      <c r="A156" t="s">
        <v>224</v>
      </c>
      <c r="B156" s="3">
        <v>45398</v>
      </c>
      <c r="C156" t="s">
        <v>19</v>
      </c>
      <c r="D156" t="s">
        <v>30</v>
      </c>
      <c r="E156" t="s">
        <v>68</v>
      </c>
      <c r="F156" t="s">
        <v>24</v>
      </c>
      <c r="G156" t="s">
        <v>29</v>
      </c>
      <c r="H156">
        <v>18</v>
      </c>
      <c r="I156">
        <v>894.64</v>
      </c>
      <c r="J156">
        <v>449.89</v>
      </c>
      <c r="K156">
        <f t="shared" si="12"/>
        <v>16103.52</v>
      </c>
      <c r="L156">
        <v>0.1</v>
      </c>
      <c r="M156">
        <f t="shared" si="13"/>
        <v>1610.3520000000001</v>
      </c>
      <c r="N156">
        <f t="shared" si="14"/>
        <v>14493.168</v>
      </c>
      <c r="O156">
        <f t="shared" si="15"/>
        <v>8098.0199999999995</v>
      </c>
      <c r="P156">
        <f t="shared" si="16"/>
        <v>6395.1480000000001</v>
      </c>
      <c r="Q156">
        <f t="shared" si="17"/>
        <v>44.125259570578365</v>
      </c>
      <c r="R156" t="s">
        <v>49</v>
      </c>
      <c r="S156" t="s">
        <v>41</v>
      </c>
      <c r="T156">
        <v>3.7</v>
      </c>
    </row>
    <row r="157" spans="1:20">
      <c r="A157" t="s">
        <v>225</v>
      </c>
      <c r="B157" s="3">
        <v>45400</v>
      </c>
      <c r="C157" t="s">
        <v>19</v>
      </c>
      <c r="D157" t="s">
        <v>32</v>
      </c>
      <c r="E157" t="s">
        <v>68</v>
      </c>
      <c r="F157" t="s">
        <v>20</v>
      </c>
      <c r="G157" t="s">
        <v>34</v>
      </c>
      <c r="H157">
        <v>8</v>
      </c>
      <c r="I157">
        <v>52.42</v>
      </c>
      <c r="J157">
        <v>28.28</v>
      </c>
      <c r="K157">
        <f t="shared" si="12"/>
        <v>419.36</v>
      </c>
      <c r="L157">
        <v>0.15</v>
      </c>
      <c r="M157">
        <f t="shared" si="13"/>
        <v>62.903999999999996</v>
      </c>
      <c r="N157">
        <f t="shared" si="14"/>
        <v>356.45600000000002</v>
      </c>
      <c r="O157">
        <f t="shared" si="15"/>
        <v>226.24</v>
      </c>
      <c r="P157">
        <f t="shared" si="16"/>
        <v>130.21600000000001</v>
      </c>
      <c r="Q157">
        <f t="shared" si="17"/>
        <v>36.530735911304625</v>
      </c>
      <c r="R157" t="s">
        <v>49</v>
      </c>
      <c r="S157" t="s">
        <v>43</v>
      </c>
      <c r="T157">
        <v>3.7</v>
      </c>
    </row>
    <row r="158" spans="1:20">
      <c r="A158" t="s">
        <v>226</v>
      </c>
      <c r="B158" s="3">
        <v>45401</v>
      </c>
      <c r="C158" t="s">
        <v>19</v>
      </c>
      <c r="D158" t="s">
        <v>28</v>
      </c>
      <c r="E158" t="s">
        <v>68</v>
      </c>
      <c r="F158" t="s">
        <v>23</v>
      </c>
      <c r="G158" t="s">
        <v>44</v>
      </c>
      <c r="H158">
        <v>27</v>
      </c>
      <c r="I158">
        <v>640</v>
      </c>
      <c r="J158">
        <v>479.47</v>
      </c>
      <c r="K158">
        <f t="shared" si="12"/>
        <v>17280</v>
      </c>
      <c r="L158">
        <v>0</v>
      </c>
      <c r="M158">
        <f t="shared" si="13"/>
        <v>0</v>
      </c>
      <c r="N158">
        <f t="shared" si="14"/>
        <v>17280</v>
      </c>
      <c r="O158">
        <f t="shared" si="15"/>
        <v>12945.69</v>
      </c>
      <c r="P158">
        <f t="shared" si="16"/>
        <v>4334.3099999999995</v>
      </c>
      <c r="Q158">
        <f t="shared" si="17"/>
        <v>25.082812499999996</v>
      </c>
      <c r="R158" t="s">
        <v>49</v>
      </c>
      <c r="S158" t="s">
        <v>47</v>
      </c>
      <c r="T158">
        <v>3.5</v>
      </c>
    </row>
    <row r="159" spans="1:20">
      <c r="A159" t="s">
        <v>227</v>
      </c>
      <c r="B159" s="3">
        <v>45401</v>
      </c>
      <c r="C159" t="s">
        <v>19</v>
      </c>
      <c r="D159" t="s">
        <v>26</v>
      </c>
      <c r="E159" t="s">
        <v>86</v>
      </c>
      <c r="F159" t="s">
        <v>24</v>
      </c>
      <c r="G159" t="s">
        <v>29</v>
      </c>
      <c r="H159">
        <v>15</v>
      </c>
      <c r="I159">
        <v>1027.67</v>
      </c>
      <c r="J159">
        <v>562.83000000000004</v>
      </c>
      <c r="K159">
        <f t="shared" si="12"/>
        <v>15415.050000000001</v>
      </c>
      <c r="L159">
        <v>0.2</v>
      </c>
      <c r="M159">
        <f t="shared" si="13"/>
        <v>3083.01</v>
      </c>
      <c r="N159">
        <f t="shared" si="14"/>
        <v>12332.04</v>
      </c>
      <c r="O159">
        <f t="shared" si="15"/>
        <v>8442.4500000000007</v>
      </c>
      <c r="P159">
        <f t="shared" si="16"/>
        <v>3889.59</v>
      </c>
      <c r="Q159">
        <f t="shared" si="17"/>
        <v>31.540523708972724</v>
      </c>
      <c r="R159" t="s">
        <v>49</v>
      </c>
      <c r="S159" t="s">
        <v>41</v>
      </c>
      <c r="T159">
        <v>3.2</v>
      </c>
    </row>
    <row r="160" spans="1:20">
      <c r="A160" t="s">
        <v>228</v>
      </c>
      <c r="B160" s="3">
        <v>45401</v>
      </c>
      <c r="C160" t="s">
        <v>19</v>
      </c>
      <c r="D160" t="s">
        <v>32</v>
      </c>
      <c r="E160" t="s">
        <v>86</v>
      </c>
      <c r="F160" t="s">
        <v>22</v>
      </c>
      <c r="G160" t="s">
        <v>42</v>
      </c>
      <c r="H160">
        <v>5</v>
      </c>
      <c r="I160">
        <v>1352.8</v>
      </c>
      <c r="J160">
        <v>1017.94</v>
      </c>
      <c r="K160">
        <f t="shared" si="12"/>
        <v>6764</v>
      </c>
      <c r="L160">
        <v>0.2</v>
      </c>
      <c r="M160">
        <f t="shared" si="13"/>
        <v>1352.8000000000002</v>
      </c>
      <c r="N160">
        <f t="shared" si="14"/>
        <v>5411.2</v>
      </c>
      <c r="O160">
        <f t="shared" si="15"/>
        <v>5089.7000000000007</v>
      </c>
      <c r="P160">
        <f t="shared" si="16"/>
        <v>321.49999999999909</v>
      </c>
      <c r="Q160">
        <f t="shared" si="17"/>
        <v>5.9413808397397823</v>
      </c>
      <c r="R160" t="s">
        <v>49</v>
      </c>
      <c r="S160" t="s">
        <v>45</v>
      </c>
      <c r="T160">
        <v>3.9</v>
      </c>
    </row>
    <row r="161" spans="1:20">
      <c r="A161" t="s">
        <v>229</v>
      </c>
      <c r="B161" s="3">
        <v>45402</v>
      </c>
      <c r="C161" t="s">
        <v>19</v>
      </c>
      <c r="D161" t="s">
        <v>30</v>
      </c>
      <c r="E161" t="s">
        <v>68</v>
      </c>
      <c r="F161" t="s">
        <v>20</v>
      </c>
      <c r="G161" t="s">
        <v>31</v>
      </c>
      <c r="H161">
        <v>32</v>
      </c>
      <c r="I161">
        <v>264.22000000000003</v>
      </c>
      <c r="J161">
        <v>110.43</v>
      </c>
      <c r="K161">
        <f t="shared" si="12"/>
        <v>8455.0400000000009</v>
      </c>
      <c r="L161">
        <v>0</v>
      </c>
      <c r="M161">
        <f t="shared" si="13"/>
        <v>0</v>
      </c>
      <c r="N161">
        <f t="shared" si="14"/>
        <v>8455.0400000000009</v>
      </c>
      <c r="O161">
        <f t="shared" si="15"/>
        <v>3533.76</v>
      </c>
      <c r="P161">
        <f t="shared" si="16"/>
        <v>4921.2800000000007</v>
      </c>
      <c r="Q161">
        <f t="shared" si="17"/>
        <v>58.205283475891299</v>
      </c>
      <c r="R161" t="s">
        <v>50</v>
      </c>
      <c r="S161" t="s">
        <v>41</v>
      </c>
      <c r="T161">
        <v>3.4</v>
      </c>
    </row>
    <row r="162" spans="1:20">
      <c r="A162" t="s">
        <v>230</v>
      </c>
      <c r="B162" s="3">
        <v>45403</v>
      </c>
      <c r="C162" t="s">
        <v>19</v>
      </c>
      <c r="D162" t="s">
        <v>26</v>
      </c>
      <c r="E162" t="s">
        <v>68</v>
      </c>
      <c r="F162" t="s">
        <v>20</v>
      </c>
      <c r="G162" t="s">
        <v>31</v>
      </c>
      <c r="H162">
        <v>49</v>
      </c>
      <c r="I162">
        <v>990.41</v>
      </c>
      <c r="J162">
        <v>503.18</v>
      </c>
      <c r="K162">
        <f t="shared" si="12"/>
        <v>48530.09</v>
      </c>
      <c r="L162">
        <v>0.15</v>
      </c>
      <c r="M162">
        <f t="shared" si="13"/>
        <v>7279.5134999999991</v>
      </c>
      <c r="N162">
        <f t="shared" si="14"/>
        <v>41250.576499999996</v>
      </c>
      <c r="O162">
        <f t="shared" si="15"/>
        <v>24655.82</v>
      </c>
      <c r="P162">
        <f t="shared" si="16"/>
        <v>16594.756499999996</v>
      </c>
      <c r="Q162">
        <f t="shared" si="17"/>
        <v>40.229150494417929</v>
      </c>
      <c r="R162" t="s">
        <v>50</v>
      </c>
      <c r="S162" t="s">
        <v>41</v>
      </c>
      <c r="T162">
        <v>4.5999999999999996</v>
      </c>
    </row>
    <row r="163" spans="1:20">
      <c r="A163" t="s">
        <v>231</v>
      </c>
      <c r="B163" s="3">
        <v>45403</v>
      </c>
      <c r="C163" t="s">
        <v>19</v>
      </c>
      <c r="D163" t="s">
        <v>30</v>
      </c>
      <c r="E163" t="s">
        <v>68</v>
      </c>
      <c r="F163" t="s">
        <v>23</v>
      </c>
      <c r="G163" t="s">
        <v>38</v>
      </c>
      <c r="H163">
        <v>16</v>
      </c>
      <c r="I163">
        <v>706.97</v>
      </c>
      <c r="J163">
        <v>533.87</v>
      </c>
      <c r="K163">
        <f t="shared" si="12"/>
        <v>11311.52</v>
      </c>
      <c r="L163">
        <v>0</v>
      </c>
      <c r="M163">
        <f t="shared" si="13"/>
        <v>0</v>
      </c>
      <c r="N163">
        <f t="shared" si="14"/>
        <v>11311.52</v>
      </c>
      <c r="O163">
        <f t="shared" si="15"/>
        <v>8541.92</v>
      </c>
      <c r="P163">
        <f t="shared" si="16"/>
        <v>2769.6000000000004</v>
      </c>
      <c r="Q163">
        <f t="shared" si="17"/>
        <v>24.484773045532346</v>
      </c>
      <c r="R163" t="s">
        <v>50</v>
      </c>
      <c r="S163" t="s">
        <v>41</v>
      </c>
      <c r="T163">
        <v>3.2</v>
      </c>
    </row>
    <row r="164" spans="1:20">
      <c r="A164" t="s">
        <v>232</v>
      </c>
      <c r="B164" s="3">
        <v>45404</v>
      </c>
      <c r="C164" t="s">
        <v>19</v>
      </c>
      <c r="D164" t="s">
        <v>32</v>
      </c>
      <c r="E164" t="s">
        <v>68</v>
      </c>
      <c r="F164" t="s">
        <v>22</v>
      </c>
      <c r="G164" t="s">
        <v>33</v>
      </c>
      <c r="H164">
        <v>25</v>
      </c>
      <c r="I164">
        <v>1418.7</v>
      </c>
      <c r="J164">
        <v>955.2</v>
      </c>
      <c r="K164">
        <f t="shared" si="12"/>
        <v>35467.5</v>
      </c>
      <c r="L164">
        <v>0</v>
      </c>
      <c r="M164">
        <f t="shared" si="13"/>
        <v>0</v>
      </c>
      <c r="N164">
        <f t="shared" si="14"/>
        <v>35467.5</v>
      </c>
      <c r="O164">
        <f t="shared" si="15"/>
        <v>23880</v>
      </c>
      <c r="P164">
        <f t="shared" si="16"/>
        <v>11587.5</v>
      </c>
      <c r="Q164">
        <f t="shared" si="17"/>
        <v>32.670754916472831</v>
      </c>
      <c r="R164" t="s">
        <v>49</v>
      </c>
      <c r="S164" t="s">
        <v>41</v>
      </c>
      <c r="T164">
        <v>3.4</v>
      </c>
    </row>
    <row r="165" spans="1:20">
      <c r="A165" t="s">
        <v>233</v>
      </c>
      <c r="B165" s="3">
        <v>45405</v>
      </c>
      <c r="C165" t="s">
        <v>19</v>
      </c>
      <c r="D165" t="s">
        <v>26</v>
      </c>
      <c r="E165" t="s">
        <v>68</v>
      </c>
      <c r="F165" t="s">
        <v>23</v>
      </c>
      <c r="G165" t="s">
        <v>38</v>
      </c>
      <c r="H165">
        <v>6</v>
      </c>
      <c r="I165">
        <v>1277.8</v>
      </c>
      <c r="J165">
        <v>983.44</v>
      </c>
      <c r="K165">
        <f t="shared" si="12"/>
        <v>7666.7999999999993</v>
      </c>
      <c r="L165">
        <v>0.1</v>
      </c>
      <c r="M165">
        <f t="shared" si="13"/>
        <v>766.68</v>
      </c>
      <c r="N165">
        <f t="shared" si="14"/>
        <v>6900.119999999999</v>
      </c>
      <c r="O165">
        <f t="shared" si="15"/>
        <v>5900.64</v>
      </c>
      <c r="P165">
        <f t="shared" si="16"/>
        <v>999.47999999999865</v>
      </c>
      <c r="Q165">
        <f t="shared" si="17"/>
        <v>14.48496547886122</v>
      </c>
      <c r="R165" t="s">
        <v>50</v>
      </c>
      <c r="S165" t="s">
        <v>43</v>
      </c>
      <c r="T165">
        <v>4.8</v>
      </c>
    </row>
    <row r="166" spans="1:20">
      <c r="A166" t="s">
        <v>234</v>
      </c>
      <c r="B166" s="3">
        <v>45405</v>
      </c>
      <c r="C166" t="s">
        <v>19</v>
      </c>
      <c r="D166" t="s">
        <v>28</v>
      </c>
      <c r="E166" t="s">
        <v>70</v>
      </c>
      <c r="F166" t="s">
        <v>20</v>
      </c>
      <c r="G166" t="s">
        <v>36</v>
      </c>
      <c r="H166">
        <v>10</v>
      </c>
      <c r="I166">
        <v>611.1</v>
      </c>
      <c r="J166">
        <v>352.87</v>
      </c>
      <c r="K166">
        <f t="shared" si="12"/>
        <v>6111</v>
      </c>
      <c r="L166">
        <v>0</v>
      </c>
      <c r="M166">
        <f t="shared" si="13"/>
        <v>0</v>
      </c>
      <c r="N166">
        <f t="shared" si="14"/>
        <v>6111</v>
      </c>
      <c r="O166">
        <f t="shared" si="15"/>
        <v>3528.7</v>
      </c>
      <c r="P166">
        <f t="shared" si="16"/>
        <v>2582.3000000000002</v>
      </c>
      <c r="Q166">
        <f t="shared" si="17"/>
        <v>42.256586483390613</v>
      </c>
      <c r="R166" t="s">
        <v>49</v>
      </c>
      <c r="S166" t="s">
        <v>41</v>
      </c>
      <c r="T166">
        <v>3.8</v>
      </c>
    </row>
    <row r="167" spans="1:20">
      <c r="A167" t="s">
        <v>235</v>
      </c>
      <c r="B167" s="3">
        <v>45406</v>
      </c>
      <c r="C167" t="s">
        <v>19</v>
      </c>
      <c r="D167" t="s">
        <v>30</v>
      </c>
      <c r="E167" t="s">
        <v>68</v>
      </c>
      <c r="F167" t="s">
        <v>24</v>
      </c>
      <c r="G167" t="s">
        <v>29</v>
      </c>
      <c r="H167">
        <v>2</v>
      </c>
      <c r="I167">
        <v>1416.89</v>
      </c>
      <c r="J167">
        <v>755.12</v>
      </c>
      <c r="K167">
        <f t="shared" si="12"/>
        <v>2833.78</v>
      </c>
      <c r="L167">
        <v>0.15</v>
      </c>
      <c r="M167">
        <f t="shared" si="13"/>
        <v>425.06700000000001</v>
      </c>
      <c r="N167">
        <f t="shared" si="14"/>
        <v>2408.7130000000002</v>
      </c>
      <c r="O167">
        <f t="shared" si="15"/>
        <v>1510.24</v>
      </c>
      <c r="P167">
        <f t="shared" si="16"/>
        <v>898.47300000000018</v>
      </c>
      <c r="Q167">
        <f t="shared" si="17"/>
        <v>37.300956984082376</v>
      </c>
      <c r="R167" t="s">
        <v>51</v>
      </c>
      <c r="S167" t="s">
        <v>43</v>
      </c>
      <c r="T167">
        <v>3.1</v>
      </c>
    </row>
    <row r="168" spans="1:20">
      <c r="A168" t="s">
        <v>236</v>
      </c>
      <c r="B168" s="3">
        <v>45408</v>
      </c>
      <c r="C168" t="s">
        <v>19</v>
      </c>
      <c r="D168" t="s">
        <v>32</v>
      </c>
      <c r="E168" t="s">
        <v>68</v>
      </c>
      <c r="F168" t="s">
        <v>20</v>
      </c>
      <c r="G168" t="s">
        <v>31</v>
      </c>
      <c r="H168">
        <v>1</v>
      </c>
      <c r="I168">
        <v>524.02</v>
      </c>
      <c r="J168">
        <v>272.39</v>
      </c>
      <c r="K168">
        <f t="shared" si="12"/>
        <v>524.02</v>
      </c>
      <c r="L168">
        <v>0.15</v>
      </c>
      <c r="M168">
        <f t="shared" si="13"/>
        <v>78.602999999999994</v>
      </c>
      <c r="N168">
        <f t="shared" si="14"/>
        <v>445.41699999999997</v>
      </c>
      <c r="O168">
        <f t="shared" si="15"/>
        <v>272.39</v>
      </c>
      <c r="P168">
        <f t="shared" si="16"/>
        <v>173.02699999999999</v>
      </c>
      <c r="Q168">
        <f t="shared" si="17"/>
        <v>38.846070087131835</v>
      </c>
      <c r="R168" t="s">
        <v>50</v>
      </c>
      <c r="S168" t="s">
        <v>47</v>
      </c>
      <c r="T168">
        <v>4.9000000000000004</v>
      </c>
    </row>
    <row r="169" spans="1:20">
      <c r="A169" t="s">
        <v>237</v>
      </c>
      <c r="B169" s="3">
        <v>45409</v>
      </c>
      <c r="C169" t="s">
        <v>19</v>
      </c>
      <c r="D169" t="s">
        <v>26</v>
      </c>
      <c r="E169" t="s">
        <v>68</v>
      </c>
      <c r="F169" t="s">
        <v>22</v>
      </c>
      <c r="G169" t="s">
        <v>33</v>
      </c>
      <c r="H169">
        <v>39</v>
      </c>
      <c r="I169">
        <v>322.66000000000003</v>
      </c>
      <c r="J169">
        <v>246.09</v>
      </c>
      <c r="K169">
        <f t="shared" si="12"/>
        <v>12583.740000000002</v>
      </c>
      <c r="L169">
        <v>0.05</v>
      </c>
      <c r="M169">
        <f t="shared" si="13"/>
        <v>629.18700000000013</v>
      </c>
      <c r="N169">
        <f t="shared" si="14"/>
        <v>11954.553000000002</v>
      </c>
      <c r="O169">
        <f t="shared" si="15"/>
        <v>9597.51</v>
      </c>
      <c r="P169">
        <f t="shared" si="16"/>
        <v>2357.0430000000015</v>
      </c>
      <c r="Q169">
        <f t="shared" si="17"/>
        <v>19.716697060944067</v>
      </c>
      <c r="R169" t="s">
        <v>49</v>
      </c>
      <c r="S169" t="s">
        <v>41</v>
      </c>
      <c r="T169">
        <v>4.8</v>
      </c>
    </row>
    <row r="170" spans="1:20">
      <c r="A170" t="s">
        <v>238</v>
      </c>
      <c r="B170" s="3">
        <v>45409</v>
      </c>
      <c r="C170" t="s">
        <v>19</v>
      </c>
      <c r="D170" t="s">
        <v>28</v>
      </c>
      <c r="E170" t="s">
        <v>68</v>
      </c>
      <c r="F170" t="s">
        <v>24</v>
      </c>
      <c r="G170" t="s">
        <v>29</v>
      </c>
      <c r="H170">
        <v>13</v>
      </c>
      <c r="I170">
        <v>793.91</v>
      </c>
      <c r="J170">
        <v>549.26</v>
      </c>
      <c r="K170">
        <f t="shared" si="12"/>
        <v>10320.83</v>
      </c>
      <c r="L170">
        <v>0</v>
      </c>
      <c r="M170">
        <f t="shared" si="13"/>
        <v>0</v>
      </c>
      <c r="N170">
        <f t="shared" si="14"/>
        <v>10320.83</v>
      </c>
      <c r="O170">
        <f t="shared" si="15"/>
        <v>7140.38</v>
      </c>
      <c r="P170">
        <f t="shared" si="16"/>
        <v>3180.45</v>
      </c>
      <c r="Q170">
        <f t="shared" si="17"/>
        <v>30.815835548109987</v>
      </c>
      <c r="R170" t="s">
        <v>50</v>
      </c>
      <c r="S170" t="s">
        <v>45</v>
      </c>
      <c r="T170">
        <v>3.3</v>
      </c>
    </row>
    <row r="171" spans="1:20">
      <c r="A171" t="s">
        <v>239</v>
      </c>
      <c r="B171" s="3">
        <v>45410</v>
      </c>
      <c r="C171" t="s">
        <v>19</v>
      </c>
      <c r="D171" t="s">
        <v>28</v>
      </c>
      <c r="E171" t="s">
        <v>68</v>
      </c>
      <c r="F171" t="s">
        <v>24</v>
      </c>
      <c r="G171" t="s">
        <v>40</v>
      </c>
      <c r="H171">
        <v>34</v>
      </c>
      <c r="I171">
        <v>793.49</v>
      </c>
      <c r="J171">
        <v>461.67</v>
      </c>
      <c r="K171">
        <f t="shared" si="12"/>
        <v>26978.66</v>
      </c>
      <c r="L171">
        <v>0</v>
      </c>
      <c r="M171">
        <f t="shared" si="13"/>
        <v>0</v>
      </c>
      <c r="N171">
        <f t="shared" si="14"/>
        <v>26978.66</v>
      </c>
      <c r="O171">
        <f t="shared" si="15"/>
        <v>15696.78</v>
      </c>
      <c r="P171">
        <f t="shared" si="16"/>
        <v>11281.88</v>
      </c>
      <c r="Q171">
        <f t="shared" si="17"/>
        <v>41.81779228471688</v>
      </c>
      <c r="R171" t="s">
        <v>49</v>
      </c>
      <c r="S171" t="s">
        <v>41</v>
      </c>
      <c r="T171">
        <v>4.8</v>
      </c>
    </row>
    <row r="172" spans="1:20">
      <c r="A172" t="s">
        <v>240</v>
      </c>
      <c r="B172" s="3">
        <v>45411</v>
      </c>
      <c r="C172" t="s">
        <v>19</v>
      </c>
      <c r="D172" t="s">
        <v>30</v>
      </c>
      <c r="E172" t="s">
        <v>68</v>
      </c>
      <c r="F172" t="s">
        <v>23</v>
      </c>
      <c r="G172" t="s">
        <v>37</v>
      </c>
      <c r="H172">
        <v>35</v>
      </c>
      <c r="I172">
        <v>735.59</v>
      </c>
      <c r="J172">
        <v>550.49</v>
      </c>
      <c r="K172">
        <f t="shared" si="12"/>
        <v>25745.65</v>
      </c>
      <c r="L172">
        <v>0.1</v>
      </c>
      <c r="M172">
        <f t="shared" si="13"/>
        <v>2574.5650000000005</v>
      </c>
      <c r="N172">
        <f t="shared" si="14"/>
        <v>23171.084999999999</v>
      </c>
      <c r="O172">
        <f t="shared" si="15"/>
        <v>19267.150000000001</v>
      </c>
      <c r="P172">
        <f t="shared" si="16"/>
        <v>3903.9349999999977</v>
      </c>
      <c r="Q172">
        <f t="shared" si="17"/>
        <v>16.848304686638532</v>
      </c>
      <c r="R172" t="s">
        <v>50</v>
      </c>
      <c r="S172" t="s">
        <v>43</v>
      </c>
      <c r="T172">
        <v>4.5999999999999996</v>
      </c>
    </row>
    <row r="173" spans="1:20">
      <c r="A173" t="s">
        <v>241</v>
      </c>
      <c r="B173" s="3">
        <v>45411</v>
      </c>
      <c r="C173" t="s">
        <v>19</v>
      </c>
      <c r="D173" t="s">
        <v>30</v>
      </c>
      <c r="E173" t="s">
        <v>86</v>
      </c>
      <c r="F173" t="s">
        <v>23</v>
      </c>
      <c r="G173" t="s">
        <v>38</v>
      </c>
      <c r="H173">
        <v>10</v>
      </c>
      <c r="I173">
        <v>1198</v>
      </c>
      <c r="J173">
        <v>1015.32</v>
      </c>
      <c r="K173">
        <f t="shared" si="12"/>
        <v>11980</v>
      </c>
      <c r="L173">
        <v>0.25</v>
      </c>
      <c r="M173">
        <f t="shared" si="13"/>
        <v>2995</v>
      </c>
      <c r="N173">
        <f t="shared" si="14"/>
        <v>8985</v>
      </c>
      <c r="O173">
        <f t="shared" si="15"/>
        <v>10153.200000000001</v>
      </c>
      <c r="P173">
        <f t="shared" si="16"/>
        <v>-1168.2000000000007</v>
      </c>
      <c r="Q173">
        <f t="shared" si="17"/>
        <v>-13.001669449081813</v>
      </c>
      <c r="R173" t="s">
        <v>49</v>
      </c>
      <c r="S173" t="s">
        <v>41</v>
      </c>
      <c r="T173">
        <v>3.8</v>
      </c>
    </row>
    <row r="174" spans="1:20">
      <c r="A174" t="s">
        <v>242</v>
      </c>
      <c r="B174" s="3">
        <v>45412</v>
      </c>
      <c r="C174" t="s">
        <v>19</v>
      </c>
      <c r="D174" t="s">
        <v>30</v>
      </c>
      <c r="E174" t="s">
        <v>68</v>
      </c>
      <c r="F174" t="s">
        <v>22</v>
      </c>
      <c r="G174" t="s">
        <v>33</v>
      </c>
      <c r="H174">
        <v>4</v>
      </c>
      <c r="I174">
        <v>1259.8599999999999</v>
      </c>
      <c r="J174">
        <v>878.85</v>
      </c>
      <c r="K174">
        <f t="shared" si="12"/>
        <v>5039.4399999999996</v>
      </c>
      <c r="L174">
        <v>0.1</v>
      </c>
      <c r="M174">
        <f t="shared" si="13"/>
        <v>503.94399999999996</v>
      </c>
      <c r="N174">
        <f t="shared" si="14"/>
        <v>4535.4959999999992</v>
      </c>
      <c r="O174">
        <f t="shared" si="15"/>
        <v>3515.4</v>
      </c>
      <c r="P174">
        <f t="shared" si="16"/>
        <v>1020.0959999999991</v>
      </c>
      <c r="Q174">
        <f t="shared" si="17"/>
        <v>22.491387931992428</v>
      </c>
      <c r="R174" t="s">
        <v>49</v>
      </c>
      <c r="S174" t="s">
        <v>41</v>
      </c>
      <c r="T174">
        <v>4.0999999999999996</v>
      </c>
    </row>
    <row r="175" spans="1:20">
      <c r="A175" t="s">
        <v>243</v>
      </c>
      <c r="B175" s="3">
        <v>45414</v>
      </c>
      <c r="C175" t="s">
        <v>19</v>
      </c>
      <c r="D175" t="s">
        <v>28</v>
      </c>
      <c r="E175" t="s">
        <v>68</v>
      </c>
      <c r="F175" t="s">
        <v>23</v>
      </c>
      <c r="G175" t="s">
        <v>38</v>
      </c>
      <c r="H175">
        <v>36</v>
      </c>
      <c r="I175">
        <v>301.08999999999997</v>
      </c>
      <c r="J175">
        <v>245.7</v>
      </c>
      <c r="K175">
        <f t="shared" si="12"/>
        <v>10839.24</v>
      </c>
      <c r="L175">
        <v>0</v>
      </c>
      <c r="M175">
        <f t="shared" si="13"/>
        <v>0</v>
      </c>
      <c r="N175">
        <f t="shared" si="14"/>
        <v>10839.24</v>
      </c>
      <c r="O175">
        <f t="shared" si="15"/>
        <v>8845.1999999999989</v>
      </c>
      <c r="P175">
        <f t="shared" si="16"/>
        <v>1994.0400000000009</v>
      </c>
      <c r="Q175">
        <f t="shared" si="17"/>
        <v>18.396492743033651</v>
      </c>
      <c r="R175" t="s">
        <v>51</v>
      </c>
      <c r="S175" t="s">
        <v>41</v>
      </c>
      <c r="T175">
        <v>3.1</v>
      </c>
    </row>
    <row r="176" spans="1:20">
      <c r="A176" t="s">
        <v>244</v>
      </c>
      <c r="B176" s="3">
        <v>45415</v>
      </c>
      <c r="C176" t="s">
        <v>19</v>
      </c>
      <c r="D176" t="s">
        <v>26</v>
      </c>
      <c r="E176" t="s">
        <v>86</v>
      </c>
      <c r="F176" t="s">
        <v>22</v>
      </c>
      <c r="G176" t="s">
        <v>42</v>
      </c>
      <c r="H176">
        <v>40</v>
      </c>
      <c r="I176">
        <v>460.93</v>
      </c>
      <c r="J176">
        <v>309.27</v>
      </c>
      <c r="K176">
        <f t="shared" si="12"/>
        <v>18437.2</v>
      </c>
      <c r="L176">
        <v>0.1</v>
      </c>
      <c r="M176">
        <f t="shared" si="13"/>
        <v>1843.7200000000003</v>
      </c>
      <c r="N176">
        <f t="shared" si="14"/>
        <v>16593.48</v>
      </c>
      <c r="O176">
        <f t="shared" si="15"/>
        <v>12370.8</v>
      </c>
      <c r="P176">
        <f t="shared" si="16"/>
        <v>4222.68</v>
      </c>
      <c r="Q176">
        <f t="shared" si="17"/>
        <v>25.447826495707954</v>
      </c>
      <c r="R176" t="s">
        <v>49</v>
      </c>
      <c r="S176" t="s">
        <v>41</v>
      </c>
      <c r="T176">
        <v>4.8</v>
      </c>
    </row>
    <row r="177" spans="1:20">
      <c r="A177" t="s">
        <v>245</v>
      </c>
      <c r="B177" s="3">
        <v>45416</v>
      </c>
      <c r="C177" t="s">
        <v>19</v>
      </c>
      <c r="D177" t="s">
        <v>30</v>
      </c>
      <c r="E177" t="s">
        <v>86</v>
      </c>
      <c r="F177" t="s">
        <v>23</v>
      </c>
      <c r="G177" t="s">
        <v>37</v>
      </c>
      <c r="H177">
        <v>27</v>
      </c>
      <c r="I177">
        <v>740.02</v>
      </c>
      <c r="J177">
        <v>609.66</v>
      </c>
      <c r="K177">
        <f t="shared" si="12"/>
        <v>19980.54</v>
      </c>
      <c r="L177">
        <v>0.05</v>
      </c>
      <c r="M177">
        <f t="shared" si="13"/>
        <v>999.02700000000004</v>
      </c>
      <c r="N177">
        <f t="shared" si="14"/>
        <v>18981.512999999999</v>
      </c>
      <c r="O177">
        <f t="shared" si="15"/>
        <v>16460.82</v>
      </c>
      <c r="P177">
        <f t="shared" si="16"/>
        <v>2520.6929999999993</v>
      </c>
      <c r="Q177">
        <f t="shared" si="17"/>
        <v>13.279726436981074</v>
      </c>
      <c r="R177" t="s">
        <v>50</v>
      </c>
      <c r="S177" t="s">
        <v>41</v>
      </c>
      <c r="T177">
        <v>4.4000000000000004</v>
      </c>
    </row>
    <row r="178" spans="1:20">
      <c r="A178" t="s">
        <v>246</v>
      </c>
      <c r="B178" s="3">
        <v>45417</v>
      </c>
      <c r="C178" t="s">
        <v>19</v>
      </c>
      <c r="D178" t="s">
        <v>32</v>
      </c>
      <c r="E178" t="s">
        <v>68</v>
      </c>
      <c r="F178" t="s">
        <v>23</v>
      </c>
      <c r="G178" t="s">
        <v>44</v>
      </c>
      <c r="H178">
        <v>4</v>
      </c>
      <c r="I178">
        <v>278.85000000000002</v>
      </c>
      <c r="J178">
        <v>208.12</v>
      </c>
      <c r="K178">
        <f t="shared" si="12"/>
        <v>1115.4000000000001</v>
      </c>
      <c r="L178">
        <v>0.15</v>
      </c>
      <c r="M178">
        <f t="shared" si="13"/>
        <v>167.31</v>
      </c>
      <c r="N178">
        <f t="shared" si="14"/>
        <v>948.09000000000015</v>
      </c>
      <c r="O178">
        <f t="shared" si="15"/>
        <v>832.48</v>
      </c>
      <c r="P178">
        <f t="shared" si="16"/>
        <v>115.61000000000013</v>
      </c>
      <c r="Q178">
        <f t="shared" si="17"/>
        <v>12.193990022044332</v>
      </c>
      <c r="R178" t="s">
        <v>49</v>
      </c>
      <c r="S178" t="s">
        <v>43</v>
      </c>
      <c r="T178">
        <v>4.4000000000000004</v>
      </c>
    </row>
    <row r="179" spans="1:20">
      <c r="A179" t="s">
        <v>247</v>
      </c>
      <c r="B179" s="3">
        <v>45418</v>
      </c>
      <c r="C179" t="s">
        <v>19</v>
      </c>
      <c r="D179" t="s">
        <v>26</v>
      </c>
      <c r="E179" t="s">
        <v>70</v>
      </c>
      <c r="F179" t="s">
        <v>24</v>
      </c>
      <c r="G179" t="s">
        <v>29</v>
      </c>
      <c r="H179">
        <v>36</v>
      </c>
      <c r="I179">
        <v>1224.26</v>
      </c>
      <c r="J179">
        <v>762.29</v>
      </c>
      <c r="K179">
        <f t="shared" si="12"/>
        <v>44073.36</v>
      </c>
      <c r="L179">
        <v>0</v>
      </c>
      <c r="M179">
        <f t="shared" si="13"/>
        <v>0</v>
      </c>
      <c r="N179">
        <f t="shared" si="14"/>
        <v>44073.36</v>
      </c>
      <c r="O179">
        <f t="shared" si="15"/>
        <v>27442.44</v>
      </c>
      <c r="P179">
        <f t="shared" si="16"/>
        <v>16630.920000000002</v>
      </c>
      <c r="Q179">
        <f t="shared" si="17"/>
        <v>37.734631532517604</v>
      </c>
      <c r="R179" t="s">
        <v>50</v>
      </c>
      <c r="S179" t="s">
        <v>47</v>
      </c>
      <c r="T179">
        <v>4.3</v>
      </c>
    </row>
    <row r="180" spans="1:20">
      <c r="A180" t="s">
        <v>248</v>
      </c>
      <c r="B180" s="3">
        <v>45418</v>
      </c>
      <c r="C180" t="s">
        <v>19</v>
      </c>
      <c r="D180" t="s">
        <v>32</v>
      </c>
      <c r="E180" t="s">
        <v>68</v>
      </c>
      <c r="F180" t="s">
        <v>23</v>
      </c>
      <c r="G180" t="s">
        <v>37</v>
      </c>
      <c r="H180">
        <v>31</v>
      </c>
      <c r="I180">
        <v>218.2</v>
      </c>
      <c r="J180">
        <v>154.81</v>
      </c>
      <c r="K180">
        <f t="shared" si="12"/>
        <v>6764.2</v>
      </c>
      <c r="L180">
        <v>0.15</v>
      </c>
      <c r="M180">
        <f t="shared" si="13"/>
        <v>1014.6299999999999</v>
      </c>
      <c r="N180">
        <f t="shared" si="14"/>
        <v>5749.57</v>
      </c>
      <c r="O180">
        <f t="shared" si="15"/>
        <v>4799.1099999999997</v>
      </c>
      <c r="P180">
        <f t="shared" si="16"/>
        <v>950.46</v>
      </c>
      <c r="Q180">
        <f t="shared" si="17"/>
        <v>16.53097535989648</v>
      </c>
      <c r="R180" t="s">
        <v>50</v>
      </c>
      <c r="S180" t="s">
        <v>45</v>
      </c>
      <c r="T180">
        <v>4</v>
      </c>
    </row>
    <row r="181" spans="1:20">
      <c r="A181" t="s">
        <v>249</v>
      </c>
      <c r="B181" s="3">
        <v>45419</v>
      </c>
      <c r="C181" t="s">
        <v>19</v>
      </c>
      <c r="D181" t="s">
        <v>28</v>
      </c>
      <c r="E181" t="s">
        <v>68</v>
      </c>
      <c r="F181" t="s">
        <v>22</v>
      </c>
      <c r="G181" t="s">
        <v>42</v>
      </c>
      <c r="H181">
        <v>11</v>
      </c>
      <c r="I181">
        <v>493.88</v>
      </c>
      <c r="J181">
        <v>381.52</v>
      </c>
      <c r="K181">
        <f t="shared" si="12"/>
        <v>5432.68</v>
      </c>
      <c r="L181">
        <v>0.05</v>
      </c>
      <c r="M181">
        <f t="shared" si="13"/>
        <v>271.63400000000001</v>
      </c>
      <c r="N181">
        <f t="shared" si="14"/>
        <v>5161.0460000000003</v>
      </c>
      <c r="O181">
        <f t="shared" si="15"/>
        <v>4196.7199999999993</v>
      </c>
      <c r="P181">
        <f t="shared" si="16"/>
        <v>964.32600000000093</v>
      </c>
      <c r="Q181">
        <f t="shared" si="17"/>
        <v>18.684700737021156</v>
      </c>
      <c r="R181" t="s">
        <v>50</v>
      </c>
      <c r="S181" t="s">
        <v>43</v>
      </c>
      <c r="T181">
        <v>4.8</v>
      </c>
    </row>
    <row r="182" spans="1:20">
      <c r="A182" t="s">
        <v>250</v>
      </c>
      <c r="B182" s="3">
        <v>45419</v>
      </c>
      <c r="C182" t="s">
        <v>19</v>
      </c>
      <c r="D182" t="s">
        <v>32</v>
      </c>
      <c r="E182" t="s">
        <v>68</v>
      </c>
      <c r="F182" t="s">
        <v>24</v>
      </c>
      <c r="G182" t="s">
        <v>29</v>
      </c>
      <c r="H182">
        <v>31</v>
      </c>
      <c r="I182">
        <v>837.75</v>
      </c>
      <c r="J182">
        <v>529.28</v>
      </c>
      <c r="K182">
        <f t="shared" si="12"/>
        <v>25970.25</v>
      </c>
      <c r="L182">
        <v>0.25</v>
      </c>
      <c r="M182">
        <f t="shared" si="13"/>
        <v>6492.5625</v>
      </c>
      <c r="N182">
        <f t="shared" si="14"/>
        <v>19477.6875</v>
      </c>
      <c r="O182">
        <f t="shared" si="15"/>
        <v>16407.68</v>
      </c>
      <c r="P182">
        <f t="shared" si="16"/>
        <v>3070.0074999999997</v>
      </c>
      <c r="Q182">
        <f t="shared" si="17"/>
        <v>15.761663185118868</v>
      </c>
      <c r="R182" t="s">
        <v>49</v>
      </c>
      <c r="S182" t="s">
        <v>41</v>
      </c>
      <c r="T182">
        <v>3.8</v>
      </c>
    </row>
    <row r="183" spans="1:20">
      <c r="A183" t="s">
        <v>251</v>
      </c>
      <c r="B183" s="3">
        <v>45420</v>
      </c>
      <c r="C183" t="s">
        <v>19</v>
      </c>
      <c r="D183" t="s">
        <v>32</v>
      </c>
      <c r="E183" t="s">
        <v>70</v>
      </c>
      <c r="F183" t="s">
        <v>24</v>
      </c>
      <c r="G183" t="s">
        <v>46</v>
      </c>
      <c r="H183">
        <v>15</v>
      </c>
      <c r="I183">
        <v>182.19</v>
      </c>
      <c r="J183">
        <v>123.4</v>
      </c>
      <c r="K183">
        <f t="shared" si="12"/>
        <v>2732.85</v>
      </c>
      <c r="L183">
        <v>0</v>
      </c>
      <c r="M183">
        <f t="shared" si="13"/>
        <v>0</v>
      </c>
      <c r="N183">
        <f t="shared" si="14"/>
        <v>2732.85</v>
      </c>
      <c r="O183">
        <f t="shared" si="15"/>
        <v>1851</v>
      </c>
      <c r="P183">
        <f t="shared" si="16"/>
        <v>881.84999999999991</v>
      </c>
      <c r="Q183">
        <f t="shared" si="17"/>
        <v>32.268510895219279</v>
      </c>
      <c r="R183" t="s">
        <v>49</v>
      </c>
      <c r="S183" t="s">
        <v>41</v>
      </c>
      <c r="T183">
        <v>3</v>
      </c>
    </row>
    <row r="184" spans="1:20">
      <c r="A184" t="s">
        <v>252</v>
      </c>
      <c r="B184" s="3">
        <v>45420</v>
      </c>
      <c r="C184" t="s">
        <v>19</v>
      </c>
      <c r="D184" t="s">
        <v>26</v>
      </c>
      <c r="E184" t="s">
        <v>70</v>
      </c>
      <c r="F184" t="s">
        <v>24</v>
      </c>
      <c r="G184" t="s">
        <v>29</v>
      </c>
      <c r="H184">
        <v>14</v>
      </c>
      <c r="I184">
        <v>159</v>
      </c>
      <c r="J184">
        <v>81.89</v>
      </c>
      <c r="K184">
        <f t="shared" si="12"/>
        <v>2226</v>
      </c>
      <c r="L184">
        <v>0.1</v>
      </c>
      <c r="M184">
        <f t="shared" si="13"/>
        <v>222.60000000000002</v>
      </c>
      <c r="N184">
        <f t="shared" si="14"/>
        <v>2003.4</v>
      </c>
      <c r="O184">
        <f t="shared" si="15"/>
        <v>1146.46</v>
      </c>
      <c r="P184">
        <f t="shared" si="16"/>
        <v>856.94</v>
      </c>
      <c r="Q184">
        <f t="shared" si="17"/>
        <v>42.774283717679943</v>
      </c>
      <c r="R184" t="s">
        <v>49</v>
      </c>
      <c r="S184" t="s">
        <v>41</v>
      </c>
      <c r="T184">
        <v>3.2</v>
      </c>
    </row>
    <row r="185" spans="1:20">
      <c r="A185" t="s">
        <v>253</v>
      </c>
      <c r="B185" s="3">
        <v>45421</v>
      </c>
      <c r="C185" t="s">
        <v>19</v>
      </c>
      <c r="D185" t="s">
        <v>28</v>
      </c>
      <c r="E185" t="s">
        <v>68</v>
      </c>
      <c r="F185" t="s">
        <v>22</v>
      </c>
      <c r="G185" t="s">
        <v>42</v>
      </c>
      <c r="H185">
        <v>15</v>
      </c>
      <c r="I185">
        <v>887.68</v>
      </c>
      <c r="J185">
        <v>554.38</v>
      </c>
      <c r="K185">
        <f t="shared" si="12"/>
        <v>13315.199999999999</v>
      </c>
      <c r="L185">
        <v>0.2</v>
      </c>
      <c r="M185">
        <f t="shared" si="13"/>
        <v>2663.04</v>
      </c>
      <c r="N185">
        <f t="shared" si="14"/>
        <v>10652.16</v>
      </c>
      <c r="O185">
        <f t="shared" si="15"/>
        <v>8315.7000000000007</v>
      </c>
      <c r="P185">
        <f t="shared" si="16"/>
        <v>2336.4599999999991</v>
      </c>
      <c r="Q185">
        <f t="shared" si="17"/>
        <v>21.934142934390763</v>
      </c>
      <c r="R185" t="s">
        <v>49</v>
      </c>
      <c r="S185" t="s">
        <v>41</v>
      </c>
      <c r="T185">
        <v>5</v>
      </c>
    </row>
    <row r="186" spans="1:20">
      <c r="A186" t="s">
        <v>254</v>
      </c>
      <c r="B186" s="3">
        <v>45421</v>
      </c>
      <c r="C186" t="s">
        <v>19</v>
      </c>
      <c r="D186" t="s">
        <v>32</v>
      </c>
      <c r="E186" t="s">
        <v>68</v>
      </c>
      <c r="F186" t="s">
        <v>24</v>
      </c>
      <c r="G186" t="s">
        <v>40</v>
      </c>
      <c r="H186">
        <v>29</v>
      </c>
      <c r="I186">
        <v>1283.58</v>
      </c>
      <c r="J186">
        <v>832.29</v>
      </c>
      <c r="K186">
        <f t="shared" si="12"/>
        <v>37223.82</v>
      </c>
      <c r="L186">
        <v>0</v>
      </c>
      <c r="M186">
        <f t="shared" si="13"/>
        <v>0</v>
      </c>
      <c r="N186">
        <f t="shared" si="14"/>
        <v>37223.82</v>
      </c>
      <c r="O186">
        <f t="shared" si="15"/>
        <v>24136.41</v>
      </c>
      <c r="P186">
        <f t="shared" si="16"/>
        <v>13087.41</v>
      </c>
      <c r="Q186">
        <f t="shared" si="17"/>
        <v>35.158696769971485</v>
      </c>
      <c r="R186" t="s">
        <v>50</v>
      </c>
      <c r="S186" t="s">
        <v>43</v>
      </c>
      <c r="T186">
        <v>4.5</v>
      </c>
    </row>
    <row r="187" spans="1:20">
      <c r="A187" t="s">
        <v>255</v>
      </c>
      <c r="B187" s="3">
        <v>45422</v>
      </c>
      <c r="C187" t="s">
        <v>19</v>
      </c>
      <c r="D187" t="s">
        <v>26</v>
      </c>
      <c r="E187" t="s">
        <v>70</v>
      </c>
      <c r="F187" t="s">
        <v>20</v>
      </c>
      <c r="G187" t="s">
        <v>34</v>
      </c>
      <c r="H187">
        <v>22</v>
      </c>
      <c r="I187">
        <v>110.33</v>
      </c>
      <c r="J187">
        <v>47.99</v>
      </c>
      <c r="K187">
        <f t="shared" si="12"/>
        <v>2427.2599999999998</v>
      </c>
      <c r="L187">
        <v>0.2</v>
      </c>
      <c r="M187">
        <f t="shared" si="13"/>
        <v>485.452</v>
      </c>
      <c r="N187">
        <f t="shared" si="14"/>
        <v>1941.8079999999998</v>
      </c>
      <c r="O187">
        <f t="shared" si="15"/>
        <v>1055.78</v>
      </c>
      <c r="P187">
        <f t="shared" si="16"/>
        <v>886.02799999999979</v>
      </c>
      <c r="Q187">
        <f t="shared" si="17"/>
        <v>45.629022024834583</v>
      </c>
      <c r="R187" t="s">
        <v>51</v>
      </c>
      <c r="S187" t="s">
        <v>43</v>
      </c>
      <c r="T187">
        <v>4.8</v>
      </c>
    </row>
    <row r="188" spans="1:20">
      <c r="A188" t="s">
        <v>256</v>
      </c>
      <c r="B188" s="3">
        <v>45422</v>
      </c>
      <c r="C188" t="s">
        <v>19</v>
      </c>
      <c r="D188" t="s">
        <v>26</v>
      </c>
      <c r="E188" t="s">
        <v>68</v>
      </c>
      <c r="F188" t="s">
        <v>20</v>
      </c>
      <c r="G188" t="s">
        <v>34</v>
      </c>
      <c r="H188">
        <v>37</v>
      </c>
      <c r="I188">
        <v>176.24</v>
      </c>
      <c r="J188">
        <v>69.739999999999995</v>
      </c>
      <c r="K188">
        <f t="shared" si="12"/>
        <v>6520.88</v>
      </c>
      <c r="L188">
        <v>0.1</v>
      </c>
      <c r="M188">
        <f t="shared" si="13"/>
        <v>652.08800000000008</v>
      </c>
      <c r="N188">
        <f t="shared" si="14"/>
        <v>5868.7920000000004</v>
      </c>
      <c r="O188">
        <f t="shared" si="15"/>
        <v>2580.3799999999997</v>
      </c>
      <c r="P188">
        <f t="shared" si="16"/>
        <v>3288.4120000000007</v>
      </c>
      <c r="Q188">
        <f t="shared" si="17"/>
        <v>56.032178342664054</v>
      </c>
      <c r="R188" t="s">
        <v>51</v>
      </c>
      <c r="S188" t="s">
        <v>41</v>
      </c>
      <c r="T188">
        <v>4.5999999999999996</v>
      </c>
    </row>
    <row r="189" spans="1:20">
      <c r="A189" t="s">
        <v>257</v>
      </c>
      <c r="B189" s="3">
        <v>45423</v>
      </c>
      <c r="C189" t="s">
        <v>19</v>
      </c>
      <c r="D189" t="s">
        <v>28</v>
      </c>
      <c r="E189" t="s">
        <v>68</v>
      </c>
      <c r="F189" t="s">
        <v>20</v>
      </c>
      <c r="G189" t="s">
        <v>34</v>
      </c>
      <c r="H189">
        <v>1</v>
      </c>
      <c r="I189">
        <v>1239.42</v>
      </c>
      <c r="J189">
        <v>571.62</v>
      </c>
      <c r="K189">
        <f t="shared" si="12"/>
        <v>1239.42</v>
      </c>
      <c r="L189">
        <v>0</v>
      </c>
      <c r="M189">
        <f t="shared" si="13"/>
        <v>0</v>
      </c>
      <c r="N189">
        <f t="shared" si="14"/>
        <v>1239.42</v>
      </c>
      <c r="O189">
        <f t="shared" si="15"/>
        <v>571.62</v>
      </c>
      <c r="P189">
        <f t="shared" si="16"/>
        <v>667.80000000000007</v>
      </c>
      <c r="Q189">
        <f t="shared" si="17"/>
        <v>53.880040664181635</v>
      </c>
      <c r="R189" t="s">
        <v>50</v>
      </c>
      <c r="S189" t="s">
        <v>41</v>
      </c>
      <c r="T189">
        <v>4.8</v>
      </c>
    </row>
    <row r="190" spans="1:20">
      <c r="A190" t="s">
        <v>258</v>
      </c>
      <c r="B190" s="3">
        <v>45423</v>
      </c>
      <c r="C190" t="s">
        <v>19</v>
      </c>
      <c r="D190" t="s">
        <v>26</v>
      </c>
      <c r="E190" t="s">
        <v>70</v>
      </c>
      <c r="F190" t="s">
        <v>20</v>
      </c>
      <c r="G190" t="s">
        <v>34</v>
      </c>
      <c r="H190">
        <v>18</v>
      </c>
      <c r="I190">
        <v>1335.63</v>
      </c>
      <c r="J190">
        <v>624.52</v>
      </c>
      <c r="K190">
        <f t="shared" si="12"/>
        <v>24041.340000000004</v>
      </c>
      <c r="L190">
        <v>0</v>
      </c>
      <c r="M190">
        <f t="shared" si="13"/>
        <v>0</v>
      </c>
      <c r="N190">
        <f t="shared" si="14"/>
        <v>24041.340000000004</v>
      </c>
      <c r="O190">
        <f t="shared" si="15"/>
        <v>11241.36</v>
      </c>
      <c r="P190">
        <f t="shared" si="16"/>
        <v>12799.980000000003</v>
      </c>
      <c r="Q190">
        <f t="shared" si="17"/>
        <v>53.241541444861227</v>
      </c>
      <c r="R190" t="s">
        <v>50</v>
      </c>
      <c r="S190" t="s">
        <v>45</v>
      </c>
      <c r="T190">
        <v>3.6</v>
      </c>
    </row>
    <row r="191" spans="1:20">
      <c r="A191" t="s">
        <v>259</v>
      </c>
      <c r="B191" s="3">
        <v>45424</v>
      </c>
      <c r="C191" t="s">
        <v>19</v>
      </c>
      <c r="D191" t="s">
        <v>28</v>
      </c>
      <c r="E191" t="s">
        <v>70</v>
      </c>
      <c r="F191" t="s">
        <v>23</v>
      </c>
      <c r="G191" t="s">
        <v>37</v>
      </c>
      <c r="H191">
        <v>24</v>
      </c>
      <c r="I191">
        <v>363.38</v>
      </c>
      <c r="J191">
        <v>295.69</v>
      </c>
      <c r="K191">
        <f t="shared" si="12"/>
        <v>8721.119999999999</v>
      </c>
      <c r="L191">
        <v>0.1</v>
      </c>
      <c r="M191">
        <f t="shared" si="13"/>
        <v>872.11199999999997</v>
      </c>
      <c r="N191">
        <f t="shared" si="14"/>
        <v>7849.0079999999989</v>
      </c>
      <c r="O191">
        <f t="shared" si="15"/>
        <v>7096.5599999999995</v>
      </c>
      <c r="P191">
        <f t="shared" si="16"/>
        <v>752.44799999999941</v>
      </c>
      <c r="Q191">
        <f t="shared" si="17"/>
        <v>9.5865362858593031</v>
      </c>
      <c r="R191" t="s">
        <v>50</v>
      </c>
      <c r="S191" t="s">
        <v>45</v>
      </c>
      <c r="T191">
        <v>3</v>
      </c>
    </row>
    <row r="192" spans="1:20">
      <c r="A192" t="s">
        <v>260</v>
      </c>
      <c r="B192" s="3">
        <v>45425</v>
      </c>
      <c r="C192" t="s">
        <v>19</v>
      </c>
      <c r="D192" t="s">
        <v>32</v>
      </c>
      <c r="E192" t="s">
        <v>70</v>
      </c>
      <c r="F192" t="s">
        <v>24</v>
      </c>
      <c r="G192" t="s">
        <v>40</v>
      </c>
      <c r="H192">
        <v>33</v>
      </c>
      <c r="I192">
        <v>1007.29</v>
      </c>
      <c r="J192">
        <v>686.35</v>
      </c>
      <c r="K192">
        <f t="shared" si="12"/>
        <v>33240.57</v>
      </c>
      <c r="L192">
        <v>0</v>
      </c>
      <c r="M192">
        <f t="shared" si="13"/>
        <v>0</v>
      </c>
      <c r="N192">
        <f t="shared" si="14"/>
        <v>33240.57</v>
      </c>
      <c r="O192">
        <f t="shared" si="15"/>
        <v>22649.55</v>
      </c>
      <c r="P192">
        <f t="shared" si="16"/>
        <v>10591.02</v>
      </c>
      <c r="Q192">
        <f t="shared" si="17"/>
        <v>31.861728002859159</v>
      </c>
      <c r="R192" t="s">
        <v>49</v>
      </c>
      <c r="S192" t="s">
        <v>41</v>
      </c>
      <c r="T192">
        <v>4.2</v>
      </c>
    </row>
    <row r="193" spans="1:20">
      <c r="A193" t="s">
        <v>261</v>
      </c>
      <c r="B193" s="3">
        <v>45426</v>
      </c>
      <c r="C193" t="s">
        <v>19</v>
      </c>
      <c r="D193" t="s">
        <v>32</v>
      </c>
      <c r="E193" t="s">
        <v>86</v>
      </c>
      <c r="F193" t="s">
        <v>22</v>
      </c>
      <c r="G193" t="s">
        <v>33</v>
      </c>
      <c r="H193">
        <v>7</v>
      </c>
      <c r="I193">
        <v>1207.8399999999999</v>
      </c>
      <c r="J193">
        <v>749.53</v>
      </c>
      <c r="K193">
        <f t="shared" si="12"/>
        <v>8454.8799999999992</v>
      </c>
      <c r="L193">
        <v>0.05</v>
      </c>
      <c r="M193">
        <f t="shared" si="13"/>
        <v>422.74399999999997</v>
      </c>
      <c r="N193">
        <f t="shared" si="14"/>
        <v>8032.1359999999995</v>
      </c>
      <c r="O193">
        <f t="shared" si="15"/>
        <v>5246.71</v>
      </c>
      <c r="P193">
        <f t="shared" si="16"/>
        <v>2785.4259999999995</v>
      </c>
      <c r="Q193">
        <f t="shared" si="17"/>
        <v>34.678521379618068</v>
      </c>
      <c r="R193" t="s">
        <v>51</v>
      </c>
      <c r="S193" t="s">
        <v>47</v>
      </c>
      <c r="T193">
        <v>3.8</v>
      </c>
    </row>
    <row r="194" spans="1:20">
      <c r="A194" t="s">
        <v>262</v>
      </c>
      <c r="B194" s="3">
        <v>45426</v>
      </c>
      <c r="C194" t="s">
        <v>19</v>
      </c>
      <c r="D194" t="s">
        <v>28</v>
      </c>
      <c r="E194" t="s">
        <v>68</v>
      </c>
      <c r="F194" t="s">
        <v>23</v>
      </c>
      <c r="G194" t="s">
        <v>37</v>
      </c>
      <c r="H194">
        <v>50</v>
      </c>
      <c r="I194">
        <v>72.09</v>
      </c>
      <c r="J194">
        <v>51.54</v>
      </c>
      <c r="K194">
        <f t="shared" ref="K194:K257" si="18">H194*I194</f>
        <v>3604.5</v>
      </c>
      <c r="L194">
        <v>0</v>
      </c>
      <c r="M194">
        <f t="shared" ref="M194:M257" si="19">K194*L194</f>
        <v>0</v>
      </c>
      <c r="N194">
        <f t="shared" ref="N194:N257" si="20">K194-M194</f>
        <v>3604.5</v>
      </c>
      <c r="O194">
        <f t="shared" ref="O194:O257" si="21">H194*J194</f>
        <v>2577</v>
      </c>
      <c r="P194">
        <f t="shared" ref="P194:P257" si="22">N194-O194</f>
        <v>1027.5</v>
      </c>
      <c r="Q194">
        <f t="shared" ref="Q194:Q257" si="23">IFERROR(P194/N194*100,0)</f>
        <v>28.506034124011652</v>
      </c>
      <c r="R194" t="s">
        <v>50</v>
      </c>
      <c r="S194" t="s">
        <v>47</v>
      </c>
      <c r="T194">
        <v>4.3</v>
      </c>
    </row>
    <row r="195" spans="1:20">
      <c r="A195" t="s">
        <v>263</v>
      </c>
      <c r="B195" s="3">
        <v>45428</v>
      </c>
      <c r="C195" t="s">
        <v>19</v>
      </c>
      <c r="D195" t="s">
        <v>30</v>
      </c>
      <c r="E195" t="s">
        <v>70</v>
      </c>
      <c r="F195" t="s">
        <v>20</v>
      </c>
      <c r="G195" t="s">
        <v>34</v>
      </c>
      <c r="H195">
        <v>42</v>
      </c>
      <c r="I195">
        <v>414.38</v>
      </c>
      <c r="J195">
        <v>183.04</v>
      </c>
      <c r="K195">
        <f t="shared" si="18"/>
        <v>17403.96</v>
      </c>
      <c r="L195">
        <v>0.1</v>
      </c>
      <c r="M195">
        <f t="shared" si="19"/>
        <v>1740.396</v>
      </c>
      <c r="N195">
        <f t="shared" si="20"/>
        <v>15663.563999999998</v>
      </c>
      <c r="O195">
        <f t="shared" si="21"/>
        <v>7687.6799999999994</v>
      </c>
      <c r="P195">
        <f t="shared" si="22"/>
        <v>7975.8839999999991</v>
      </c>
      <c r="Q195">
        <f t="shared" si="23"/>
        <v>50.919982195622914</v>
      </c>
      <c r="R195" t="s">
        <v>50</v>
      </c>
      <c r="S195" t="s">
        <v>41</v>
      </c>
      <c r="T195">
        <v>3.6</v>
      </c>
    </row>
    <row r="196" spans="1:20">
      <c r="A196" t="s">
        <v>264</v>
      </c>
      <c r="B196" s="3">
        <v>45428</v>
      </c>
      <c r="C196" t="s">
        <v>19</v>
      </c>
      <c r="D196" t="s">
        <v>28</v>
      </c>
      <c r="E196" t="s">
        <v>70</v>
      </c>
      <c r="F196" t="s">
        <v>20</v>
      </c>
      <c r="G196" t="s">
        <v>31</v>
      </c>
      <c r="H196">
        <v>23</v>
      </c>
      <c r="I196">
        <v>628</v>
      </c>
      <c r="J196">
        <v>323.57</v>
      </c>
      <c r="K196">
        <f t="shared" si="18"/>
        <v>14444</v>
      </c>
      <c r="L196">
        <v>0</v>
      </c>
      <c r="M196">
        <f t="shared" si="19"/>
        <v>0</v>
      </c>
      <c r="N196">
        <f t="shared" si="20"/>
        <v>14444</v>
      </c>
      <c r="O196">
        <f t="shared" si="21"/>
        <v>7442.11</v>
      </c>
      <c r="P196">
        <f t="shared" si="22"/>
        <v>7001.89</v>
      </c>
      <c r="Q196">
        <f t="shared" si="23"/>
        <v>48.476114649681527</v>
      </c>
      <c r="R196" t="s">
        <v>49</v>
      </c>
      <c r="S196" t="s">
        <v>41</v>
      </c>
      <c r="T196">
        <v>3.7</v>
      </c>
    </row>
    <row r="197" spans="1:20">
      <c r="A197" t="s">
        <v>265</v>
      </c>
      <c r="B197" s="3">
        <v>45428</v>
      </c>
      <c r="C197" t="s">
        <v>19</v>
      </c>
      <c r="D197" t="s">
        <v>32</v>
      </c>
      <c r="E197" t="s">
        <v>68</v>
      </c>
      <c r="F197" t="s">
        <v>23</v>
      </c>
      <c r="G197" t="s">
        <v>38</v>
      </c>
      <c r="H197">
        <v>41</v>
      </c>
      <c r="I197">
        <v>836.07</v>
      </c>
      <c r="J197">
        <v>666.86</v>
      </c>
      <c r="K197">
        <f t="shared" si="18"/>
        <v>34278.870000000003</v>
      </c>
      <c r="L197">
        <v>0.2</v>
      </c>
      <c r="M197">
        <f t="shared" si="19"/>
        <v>6855.7740000000013</v>
      </c>
      <c r="N197">
        <f t="shared" si="20"/>
        <v>27423.096000000001</v>
      </c>
      <c r="O197">
        <f t="shared" si="21"/>
        <v>27341.260000000002</v>
      </c>
      <c r="P197">
        <f t="shared" si="22"/>
        <v>81.835999999999331</v>
      </c>
      <c r="Q197">
        <f t="shared" si="23"/>
        <v>0.29841998875691983</v>
      </c>
      <c r="R197" t="s">
        <v>49</v>
      </c>
      <c r="S197" t="s">
        <v>43</v>
      </c>
      <c r="T197">
        <v>3.1</v>
      </c>
    </row>
    <row r="198" spans="1:20">
      <c r="A198" t="s">
        <v>266</v>
      </c>
      <c r="B198" s="3">
        <v>45429</v>
      </c>
      <c r="C198" t="s">
        <v>19</v>
      </c>
      <c r="D198" t="s">
        <v>30</v>
      </c>
      <c r="E198" t="s">
        <v>68</v>
      </c>
      <c r="F198" t="s">
        <v>23</v>
      </c>
      <c r="G198" t="s">
        <v>37</v>
      </c>
      <c r="H198">
        <v>20</v>
      </c>
      <c r="I198">
        <v>163.61000000000001</v>
      </c>
      <c r="J198">
        <v>121.25</v>
      </c>
      <c r="K198">
        <f t="shared" si="18"/>
        <v>3272.2000000000003</v>
      </c>
      <c r="L198">
        <v>0.25</v>
      </c>
      <c r="M198">
        <f t="shared" si="19"/>
        <v>818.05000000000007</v>
      </c>
      <c r="N198">
        <f t="shared" si="20"/>
        <v>2454.15</v>
      </c>
      <c r="O198">
        <f t="shared" si="21"/>
        <v>2425</v>
      </c>
      <c r="P198">
        <f t="shared" si="22"/>
        <v>29.150000000000091</v>
      </c>
      <c r="Q198">
        <f t="shared" si="23"/>
        <v>1.1877839577857949</v>
      </c>
      <c r="R198" t="s">
        <v>49</v>
      </c>
      <c r="S198" t="s">
        <v>47</v>
      </c>
      <c r="T198">
        <v>4.9000000000000004</v>
      </c>
    </row>
    <row r="199" spans="1:20">
      <c r="A199" t="s">
        <v>267</v>
      </c>
      <c r="B199" s="3">
        <v>45429</v>
      </c>
      <c r="C199" t="s">
        <v>19</v>
      </c>
      <c r="D199" t="s">
        <v>26</v>
      </c>
      <c r="E199" t="s">
        <v>68</v>
      </c>
      <c r="F199" t="s">
        <v>22</v>
      </c>
      <c r="G199" t="s">
        <v>35</v>
      </c>
      <c r="H199">
        <v>30</v>
      </c>
      <c r="I199">
        <v>627.82000000000005</v>
      </c>
      <c r="J199">
        <v>389.61</v>
      </c>
      <c r="K199">
        <f t="shared" si="18"/>
        <v>18834.600000000002</v>
      </c>
      <c r="L199">
        <v>0.25</v>
      </c>
      <c r="M199">
        <f t="shared" si="19"/>
        <v>4708.6500000000005</v>
      </c>
      <c r="N199">
        <f t="shared" si="20"/>
        <v>14125.95</v>
      </c>
      <c r="O199">
        <f t="shared" si="21"/>
        <v>11688.300000000001</v>
      </c>
      <c r="P199">
        <f t="shared" si="22"/>
        <v>2437.6499999999996</v>
      </c>
      <c r="Q199">
        <f t="shared" si="23"/>
        <v>17.256538498295686</v>
      </c>
      <c r="R199" t="s">
        <v>51</v>
      </c>
      <c r="S199" t="s">
        <v>47</v>
      </c>
      <c r="T199">
        <v>4</v>
      </c>
    </row>
    <row r="200" spans="1:20">
      <c r="A200" t="s">
        <v>268</v>
      </c>
      <c r="B200" s="3">
        <v>45430</v>
      </c>
      <c r="C200" t="s">
        <v>19</v>
      </c>
      <c r="D200" t="s">
        <v>32</v>
      </c>
      <c r="E200" t="s">
        <v>68</v>
      </c>
      <c r="F200" t="s">
        <v>22</v>
      </c>
      <c r="G200" t="s">
        <v>35</v>
      </c>
      <c r="H200">
        <v>33</v>
      </c>
      <c r="I200">
        <v>887.71</v>
      </c>
      <c r="J200">
        <v>552.66999999999996</v>
      </c>
      <c r="K200">
        <f t="shared" si="18"/>
        <v>29294.43</v>
      </c>
      <c r="L200">
        <v>0.1</v>
      </c>
      <c r="M200">
        <f t="shared" si="19"/>
        <v>2929.4430000000002</v>
      </c>
      <c r="N200">
        <f t="shared" si="20"/>
        <v>26364.987000000001</v>
      </c>
      <c r="O200">
        <f t="shared" si="21"/>
        <v>18238.109999999997</v>
      </c>
      <c r="P200">
        <f t="shared" si="22"/>
        <v>8126.877000000004</v>
      </c>
      <c r="Q200">
        <f t="shared" si="23"/>
        <v>30.82450600108395</v>
      </c>
      <c r="R200" t="s">
        <v>50</v>
      </c>
      <c r="S200" t="s">
        <v>41</v>
      </c>
      <c r="T200">
        <v>4.7</v>
      </c>
    </row>
    <row r="201" spans="1:20">
      <c r="A201" t="s">
        <v>269</v>
      </c>
      <c r="B201" s="3">
        <v>45430</v>
      </c>
      <c r="C201" t="s">
        <v>19</v>
      </c>
      <c r="D201" t="s">
        <v>26</v>
      </c>
      <c r="E201" t="s">
        <v>70</v>
      </c>
      <c r="F201" t="s">
        <v>23</v>
      </c>
      <c r="G201" t="s">
        <v>37</v>
      </c>
      <c r="H201">
        <v>10</v>
      </c>
      <c r="I201">
        <v>1025.77</v>
      </c>
      <c r="J201">
        <v>751.91</v>
      </c>
      <c r="K201">
        <f t="shared" si="18"/>
        <v>10257.700000000001</v>
      </c>
      <c r="L201">
        <v>0</v>
      </c>
      <c r="M201">
        <f t="shared" si="19"/>
        <v>0</v>
      </c>
      <c r="N201">
        <f t="shared" si="20"/>
        <v>10257.700000000001</v>
      </c>
      <c r="O201">
        <f t="shared" si="21"/>
        <v>7519.0999999999995</v>
      </c>
      <c r="P201">
        <f t="shared" si="22"/>
        <v>2738.6000000000013</v>
      </c>
      <c r="Q201">
        <f t="shared" si="23"/>
        <v>26.697992727414537</v>
      </c>
      <c r="R201" t="s">
        <v>49</v>
      </c>
      <c r="S201" t="s">
        <v>41</v>
      </c>
      <c r="T201">
        <v>4.8</v>
      </c>
    </row>
    <row r="202" spans="1:20">
      <c r="A202" t="s">
        <v>270</v>
      </c>
      <c r="B202" s="3">
        <v>45431</v>
      </c>
      <c r="C202" t="s">
        <v>19</v>
      </c>
      <c r="D202" t="s">
        <v>30</v>
      </c>
      <c r="E202" t="s">
        <v>70</v>
      </c>
      <c r="F202" t="s">
        <v>24</v>
      </c>
      <c r="G202" t="s">
        <v>40</v>
      </c>
      <c r="H202">
        <v>33</v>
      </c>
      <c r="I202">
        <v>455.65</v>
      </c>
      <c r="J202">
        <v>260.45</v>
      </c>
      <c r="K202">
        <f t="shared" si="18"/>
        <v>15036.449999999999</v>
      </c>
      <c r="L202">
        <v>0.15</v>
      </c>
      <c r="M202">
        <f t="shared" si="19"/>
        <v>2255.4674999999997</v>
      </c>
      <c r="N202">
        <f t="shared" si="20"/>
        <v>12780.982499999998</v>
      </c>
      <c r="O202">
        <f t="shared" si="21"/>
        <v>8594.85</v>
      </c>
      <c r="P202">
        <f t="shared" si="22"/>
        <v>4186.1324999999979</v>
      </c>
      <c r="Q202">
        <f t="shared" si="23"/>
        <v>32.752822406258666</v>
      </c>
      <c r="R202" t="s">
        <v>51</v>
      </c>
      <c r="S202" t="s">
        <v>43</v>
      </c>
      <c r="T202">
        <v>3.8</v>
      </c>
    </row>
    <row r="203" spans="1:20">
      <c r="A203" t="s">
        <v>271</v>
      </c>
      <c r="B203" s="3">
        <v>45431</v>
      </c>
      <c r="C203" t="s">
        <v>19</v>
      </c>
      <c r="D203" t="s">
        <v>26</v>
      </c>
      <c r="E203" t="s">
        <v>68</v>
      </c>
      <c r="F203" t="s">
        <v>20</v>
      </c>
      <c r="G203" t="s">
        <v>36</v>
      </c>
      <c r="H203">
        <v>25</v>
      </c>
      <c r="I203">
        <v>235.31</v>
      </c>
      <c r="J203">
        <v>136.24</v>
      </c>
      <c r="K203">
        <f t="shared" si="18"/>
        <v>5882.75</v>
      </c>
      <c r="L203">
        <v>0</v>
      </c>
      <c r="M203">
        <f t="shared" si="19"/>
        <v>0</v>
      </c>
      <c r="N203">
        <f t="shared" si="20"/>
        <v>5882.75</v>
      </c>
      <c r="O203">
        <f t="shared" si="21"/>
        <v>3406</v>
      </c>
      <c r="P203">
        <f t="shared" si="22"/>
        <v>2476.75</v>
      </c>
      <c r="Q203">
        <f t="shared" si="23"/>
        <v>42.101908121201816</v>
      </c>
      <c r="R203" t="s">
        <v>49</v>
      </c>
      <c r="S203" t="s">
        <v>43</v>
      </c>
      <c r="T203">
        <v>4.4000000000000004</v>
      </c>
    </row>
    <row r="204" spans="1:20">
      <c r="A204" t="s">
        <v>272</v>
      </c>
      <c r="B204" s="3">
        <v>45432</v>
      </c>
      <c r="C204" t="s">
        <v>19</v>
      </c>
      <c r="D204" t="s">
        <v>26</v>
      </c>
      <c r="E204" t="s">
        <v>68</v>
      </c>
      <c r="F204" t="s">
        <v>22</v>
      </c>
      <c r="G204" t="s">
        <v>33</v>
      </c>
      <c r="H204">
        <v>30</v>
      </c>
      <c r="I204">
        <v>899.73</v>
      </c>
      <c r="J204">
        <v>690.7</v>
      </c>
      <c r="K204">
        <f t="shared" si="18"/>
        <v>26991.9</v>
      </c>
      <c r="L204">
        <v>0</v>
      </c>
      <c r="M204">
        <f t="shared" si="19"/>
        <v>0</v>
      </c>
      <c r="N204">
        <f t="shared" si="20"/>
        <v>26991.9</v>
      </c>
      <c r="O204">
        <f t="shared" si="21"/>
        <v>20721</v>
      </c>
      <c r="P204">
        <f t="shared" si="22"/>
        <v>6270.9000000000015</v>
      </c>
      <c r="Q204">
        <f t="shared" si="23"/>
        <v>23.232525313149505</v>
      </c>
      <c r="R204" t="s">
        <v>49</v>
      </c>
      <c r="S204" t="s">
        <v>41</v>
      </c>
      <c r="T204">
        <v>4.8</v>
      </c>
    </row>
    <row r="205" spans="1:20">
      <c r="A205" t="s">
        <v>273</v>
      </c>
      <c r="B205" s="3">
        <v>45432</v>
      </c>
      <c r="C205" t="s">
        <v>19</v>
      </c>
      <c r="D205" t="s">
        <v>32</v>
      </c>
      <c r="E205" t="s">
        <v>86</v>
      </c>
      <c r="F205" t="s">
        <v>20</v>
      </c>
      <c r="G205" t="s">
        <v>34</v>
      </c>
      <c r="H205">
        <v>32</v>
      </c>
      <c r="I205">
        <v>547.94000000000005</v>
      </c>
      <c r="J205">
        <v>205.68</v>
      </c>
      <c r="K205">
        <f t="shared" si="18"/>
        <v>17534.080000000002</v>
      </c>
      <c r="L205">
        <v>0</v>
      </c>
      <c r="M205">
        <f t="shared" si="19"/>
        <v>0</v>
      </c>
      <c r="N205">
        <f t="shared" si="20"/>
        <v>17534.080000000002</v>
      </c>
      <c r="O205">
        <f t="shared" si="21"/>
        <v>6581.76</v>
      </c>
      <c r="P205">
        <f t="shared" si="22"/>
        <v>10952.320000000002</v>
      </c>
      <c r="Q205">
        <f t="shared" si="23"/>
        <v>62.463043398912291</v>
      </c>
      <c r="R205" t="s">
        <v>49</v>
      </c>
      <c r="S205" t="s">
        <v>47</v>
      </c>
      <c r="T205">
        <v>3.6</v>
      </c>
    </row>
    <row r="206" spans="1:20">
      <c r="A206" t="s">
        <v>274</v>
      </c>
      <c r="B206" s="3">
        <v>45432</v>
      </c>
      <c r="C206" t="s">
        <v>19</v>
      </c>
      <c r="D206" t="s">
        <v>26</v>
      </c>
      <c r="E206" t="s">
        <v>68</v>
      </c>
      <c r="F206" t="s">
        <v>24</v>
      </c>
      <c r="G206" t="s">
        <v>29</v>
      </c>
      <c r="H206">
        <v>15</v>
      </c>
      <c r="I206">
        <v>347.51</v>
      </c>
      <c r="J206">
        <v>201.11</v>
      </c>
      <c r="K206">
        <f t="shared" si="18"/>
        <v>5212.6499999999996</v>
      </c>
      <c r="L206">
        <v>0.05</v>
      </c>
      <c r="M206">
        <f t="shared" si="19"/>
        <v>260.63249999999999</v>
      </c>
      <c r="N206">
        <f t="shared" si="20"/>
        <v>4952.0174999999999</v>
      </c>
      <c r="O206">
        <f t="shared" si="21"/>
        <v>3016.65</v>
      </c>
      <c r="P206">
        <f t="shared" si="22"/>
        <v>1935.3674999999998</v>
      </c>
      <c r="Q206">
        <f t="shared" si="23"/>
        <v>39.082404292795815</v>
      </c>
      <c r="R206" t="s">
        <v>50</v>
      </c>
      <c r="S206" t="s">
        <v>43</v>
      </c>
      <c r="T206">
        <v>4.0999999999999996</v>
      </c>
    </row>
    <row r="207" spans="1:20">
      <c r="A207" t="s">
        <v>275</v>
      </c>
      <c r="B207" s="3">
        <v>45433</v>
      </c>
      <c r="C207" t="s">
        <v>19</v>
      </c>
      <c r="D207" t="s">
        <v>28</v>
      </c>
      <c r="E207" t="s">
        <v>68</v>
      </c>
      <c r="F207" t="s">
        <v>23</v>
      </c>
      <c r="G207" t="s">
        <v>38</v>
      </c>
      <c r="H207">
        <v>49</v>
      </c>
      <c r="I207">
        <v>830.06</v>
      </c>
      <c r="J207">
        <v>704.41</v>
      </c>
      <c r="K207">
        <f t="shared" si="18"/>
        <v>40672.939999999995</v>
      </c>
      <c r="L207">
        <v>0.15</v>
      </c>
      <c r="M207">
        <f t="shared" si="19"/>
        <v>6100.9409999999989</v>
      </c>
      <c r="N207">
        <f t="shared" si="20"/>
        <v>34571.998999999996</v>
      </c>
      <c r="O207">
        <f t="shared" si="21"/>
        <v>34516.089999999997</v>
      </c>
      <c r="P207">
        <f t="shared" si="22"/>
        <v>55.908999999999651</v>
      </c>
      <c r="Q207">
        <f t="shared" si="23"/>
        <v>0.16171757959382002</v>
      </c>
      <c r="R207" t="s">
        <v>51</v>
      </c>
      <c r="S207" t="s">
        <v>45</v>
      </c>
      <c r="T207">
        <v>4.9000000000000004</v>
      </c>
    </row>
    <row r="208" spans="1:20">
      <c r="A208" t="s">
        <v>276</v>
      </c>
      <c r="B208" s="3">
        <v>45433</v>
      </c>
      <c r="C208" t="s">
        <v>19</v>
      </c>
      <c r="D208" t="s">
        <v>32</v>
      </c>
      <c r="E208" t="s">
        <v>68</v>
      </c>
      <c r="F208" t="s">
        <v>23</v>
      </c>
      <c r="G208" t="s">
        <v>38</v>
      </c>
      <c r="H208">
        <v>28</v>
      </c>
      <c r="I208">
        <v>994.53</v>
      </c>
      <c r="J208">
        <v>830.21</v>
      </c>
      <c r="K208">
        <f t="shared" si="18"/>
        <v>27846.84</v>
      </c>
      <c r="L208">
        <v>0.1</v>
      </c>
      <c r="M208">
        <f t="shared" si="19"/>
        <v>2784.6840000000002</v>
      </c>
      <c r="N208">
        <f t="shared" si="20"/>
        <v>25062.155999999999</v>
      </c>
      <c r="O208">
        <f t="shared" si="21"/>
        <v>23245.88</v>
      </c>
      <c r="P208">
        <f t="shared" si="22"/>
        <v>1816.275999999998</v>
      </c>
      <c r="Q208">
        <f t="shared" si="23"/>
        <v>7.2470860048911918</v>
      </c>
      <c r="R208" t="s">
        <v>49</v>
      </c>
      <c r="S208" t="s">
        <v>47</v>
      </c>
      <c r="T208">
        <v>4.5</v>
      </c>
    </row>
    <row r="209" spans="1:20">
      <c r="A209" t="s">
        <v>277</v>
      </c>
      <c r="B209" s="3">
        <v>45435</v>
      </c>
      <c r="C209" t="s">
        <v>19</v>
      </c>
      <c r="D209" t="s">
        <v>30</v>
      </c>
      <c r="E209" t="s">
        <v>68</v>
      </c>
      <c r="F209" t="s">
        <v>20</v>
      </c>
      <c r="G209" t="s">
        <v>34</v>
      </c>
      <c r="H209">
        <v>5</v>
      </c>
      <c r="I209">
        <v>1098.58</v>
      </c>
      <c r="J209">
        <v>476.92</v>
      </c>
      <c r="K209">
        <f t="shared" si="18"/>
        <v>5492.9</v>
      </c>
      <c r="L209">
        <v>0.05</v>
      </c>
      <c r="M209">
        <f t="shared" si="19"/>
        <v>274.64499999999998</v>
      </c>
      <c r="N209">
        <f t="shared" si="20"/>
        <v>5218.2549999999992</v>
      </c>
      <c r="O209">
        <f t="shared" si="21"/>
        <v>2384.6</v>
      </c>
      <c r="P209">
        <f t="shared" si="22"/>
        <v>2833.6549999999993</v>
      </c>
      <c r="Q209">
        <f t="shared" si="23"/>
        <v>54.302731468661456</v>
      </c>
      <c r="R209" t="s">
        <v>51</v>
      </c>
      <c r="S209" t="s">
        <v>45</v>
      </c>
      <c r="T209">
        <v>4.7</v>
      </c>
    </row>
    <row r="210" spans="1:20">
      <c r="A210" t="s">
        <v>278</v>
      </c>
      <c r="B210" s="3">
        <v>45436</v>
      </c>
      <c r="C210" t="s">
        <v>19</v>
      </c>
      <c r="D210" t="s">
        <v>28</v>
      </c>
      <c r="E210" t="s">
        <v>68</v>
      </c>
      <c r="F210" t="s">
        <v>23</v>
      </c>
      <c r="G210" t="s">
        <v>38</v>
      </c>
      <c r="H210">
        <v>19</v>
      </c>
      <c r="I210">
        <v>1457.29</v>
      </c>
      <c r="J210">
        <v>1237.5899999999999</v>
      </c>
      <c r="K210">
        <f t="shared" si="18"/>
        <v>27688.51</v>
      </c>
      <c r="L210">
        <v>0</v>
      </c>
      <c r="M210">
        <f t="shared" si="19"/>
        <v>0</v>
      </c>
      <c r="N210">
        <f t="shared" si="20"/>
        <v>27688.51</v>
      </c>
      <c r="O210">
        <f t="shared" si="21"/>
        <v>23514.21</v>
      </c>
      <c r="P210">
        <f t="shared" si="22"/>
        <v>4174.2999999999993</v>
      </c>
      <c r="Q210">
        <f t="shared" si="23"/>
        <v>15.075928607209271</v>
      </c>
      <c r="R210" t="s">
        <v>49</v>
      </c>
      <c r="S210" t="s">
        <v>41</v>
      </c>
      <c r="T210">
        <v>3.4</v>
      </c>
    </row>
    <row r="211" spans="1:20">
      <c r="A211" t="s">
        <v>279</v>
      </c>
      <c r="B211" s="3">
        <v>45438</v>
      </c>
      <c r="C211" t="s">
        <v>19</v>
      </c>
      <c r="D211" t="s">
        <v>32</v>
      </c>
      <c r="E211" t="s">
        <v>68</v>
      </c>
      <c r="F211" t="s">
        <v>20</v>
      </c>
      <c r="G211" t="s">
        <v>36</v>
      </c>
      <c r="H211">
        <v>16</v>
      </c>
      <c r="I211">
        <v>942.27</v>
      </c>
      <c r="J211">
        <v>527.48</v>
      </c>
      <c r="K211">
        <f t="shared" si="18"/>
        <v>15076.32</v>
      </c>
      <c r="L211">
        <v>0.25</v>
      </c>
      <c r="M211">
        <f t="shared" si="19"/>
        <v>3769.08</v>
      </c>
      <c r="N211">
        <f t="shared" si="20"/>
        <v>11307.24</v>
      </c>
      <c r="O211">
        <f t="shared" si="21"/>
        <v>8439.68</v>
      </c>
      <c r="P211">
        <f t="shared" si="22"/>
        <v>2867.5599999999995</v>
      </c>
      <c r="Q211">
        <f t="shared" si="23"/>
        <v>25.36038856520247</v>
      </c>
      <c r="R211" t="s">
        <v>51</v>
      </c>
      <c r="S211" t="s">
        <v>43</v>
      </c>
      <c r="T211">
        <v>4.0999999999999996</v>
      </c>
    </row>
    <row r="212" spans="1:20">
      <c r="A212" t="s">
        <v>280</v>
      </c>
      <c r="B212" s="3">
        <v>45439</v>
      </c>
      <c r="C212" t="s">
        <v>19</v>
      </c>
      <c r="D212" t="s">
        <v>32</v>
      </c>
      <c r="E212" t="s">
        <v>68</v>
      </c>
      <c r="F212" t="s">
        <v>22</v>
      </c>
      <c r="G212" t="s">
        <v>35</v>
      </c>
      <c r="H212">
        <v>25</v>
      </c>
      <c r="I212">
        <v>1221.6300000000001</v>
      </c>
      <c r="J212">
        <v>843.23</v>
      </c>
      <c r="K212">
        <f t="shared" si="18"/>
        <v>30540.750000000004</v>
      </c>
      <c r="L212">
        <v>0.05</v>
      </c>
      <c r="M212">
        <f t="shared" si="19"/>
        <v>1527.0375000000004</v>
      </c>
      <c r="N212">
        <f t="shared" si="20"/>
        <v>29013.712500000001</v>
      </c>
      <c r="O212">
        <f t="shared" si="21"/>
        <v>21080.75</v>
      </c>
      <c r="P212">
        <f t="shared" si="22"/>
        <v>7932.9625000000015</v>
      </c>
      <c r="Q212">
        <f t="shared" si="23"/>
        <v>27.342114526019383</v>
      </c>
      <c r="R212" t="s">
        <v>50</v>
      </c>
      <c r="S212" t="s">
        <v>41</v>
      </c>
      <c r="T212">
        <v>3.9</v>
      </c>
    </row>
    <row r="213" spans="1:20">
      <c r="A213" t="s">
        <v>281</v>
      </c>
      <c r="B213" s="3">
        <v>45440</v>
      </c>
      <c r="C213" t="s">
        <v>19</v>
      </c>
      <c r="D213" t="s">
        <v>30</v>
      </c>
      <c r="E213" t="s">
        <v>68</v>
      </c>
      <c r="F213" t="s">
        <v>20</v>
      </c>
      <c r="G213" t="s">
        <v>34</v>
      </c>
      <c r="H213">
        <v>5</v>
      </c>
      <c r="I213">
        <v>99.09</v>
      </c>
      <c r="J213">
        <v>42.31</v>
      </c>
      <c r="K213">
        <f t="shared" si="18"/>
        <v>495.45000000000005</v>
      </c>
      <c r="L213">
        <v>0.05</v>
      </c>
      <c r="M213">
        <f t="shared" si="19"/>
        <v>24.772500000000004</v>
      </c>
      <c r="N213">
        <f t="shared" si="20"/>
        <v>470.67750000000007</v>
      </c>
      <c r="O213">
        <f t="shared" si="21"/>
        <v>211.55</v>
      </c>
      <c r="P213">
        <f t="shared" si="22"/>
        <v>259.12750000000005</v>
      </c>
      <c r="Q213">
        <f t="shared" si="23"/>
        <v>55.054150665795589</v>
      </c>
      <c r="R213" t="s">
        <v>50</v>
      </c>
      <c r="S213" t="s">
        <v>43</v>
      </c>
      <c r="T213">
        <v>4.5</v>
      </c>
    </row>
    <row r="214" spans="1:20">
      <c r="A214" t="s">
        <v>282</v>
      </c>
      <c r="B214" s="3">
        <v>45440</v>
      </c>
      <c r="C214" t="s">
        <v>19</v>
      </c>
      <c r="D214" t="s">
        <v>32</v>
      </c>
      <c r="E214" t="s">
        <v>68</v>
      </c>
      <c r="F214" t="s">
        <v>23</v>
      </c>
      <c r="G214" t="s">
        <v>44</v>
      </c>
      <c r="H214">
        <v>50</v>
      </c>
      <c r="I214">
        <v>1211.9100000000001</v>
      </c>
      <c r="J214">
        <v>911.61</v>
      </c>
      <c r="K214">
        <f t="shared" si="18"/>
        <v>60595.500000000007</v>
      </c>
      <c r="L214">
        <v>0</v>
      </c>
      <c r="M214">
        <f t="shared" si="19"/>
        <v>0</v>
      </c>
      <c r="N214">
        <f t="shared" si="20"/>
        <v>60595.500000000007</v>
      </c>
      <c r="O214">
        <f t="shared" si="21"/>
        <v>45580.5</v>
      </c>
      <c r="P214">
        <f t="shared" si="22"/>
        <v>15015.000000000007</v>
      </c>
      <c r="Q214">
        <f t="shared" si="23"/>
        <v>24.779067752555893</v>
      </c>
      <c r="R214" t="s">
        <v>49</v>
      </c>
      <c r="S214" t="s">
        <v>41</v>
      </c>
      <c r="T214">
        <v>4.9000000000000004</v>
      </c>
    </row>
    <row r="215" spans="1:20">
      <c r="A215" t="s">
        <v>283</v>
      </c>
      <c r="B215" s="3">
        <v>45440</v>
      </c>
      <c r="C215" t="s">
        <v>19</v>
      </c>
      <c r="D215" t="s">
        <v>32</v>
      </c>
      <c r="E215" t="s">
        <v>68</v>
      </c>
      <c r="F215" t="s">
        <v>20</v>
      </c>
      <c r="G215" t="s">
        <v>36</v>
      </c>
      <c r="H215">
        <v>11</v>
      </c>
      <c r="I215">
        <v>47.66</v>
      </c>
      <c r="J215">
        <v>25.92</v>
      </c>
      <c r="K215">
        <f t="shared" si="18"/>
        <v>524.26</v>
      </c>
      <c r="L215">
        <v>0.15</v>
      </c>
      <c r="M215">
        <f t="shared" si="19"/>
        <v>78.638999999999996</v>
      </c>
      <c r="N215">
        <f t="shared" si="20"/>
        <v>445.62099999999998</v>
      </c>
      <c r="O215">
        <f t="shared" si="21"/>
        <v>285.12</v>
      </c>
      <c r="P215">
        <f t="shared" si="22"/>
        <v>160.50099999999998</v>
      </c>
      <c r="Q215">
        <f t="shared" si="23"/>
        <v>36.017377996099817</v>
      </c>
      <c r="R215" t="s">
        <v>51</v>
      </c>
      <c r="S215" t="s">
        <v>43</v>
      </c>
      <c r="T215">
        <v>3.9</v>
      </c>
    </row>
    <row r="216" spans="1:20">
      <c r="A216" t="s">
        <v>284</v>
      </c>
      <c r="B216" s="3">
        <v>45441</v>
      </c>
      <c r="C216" t="s">
        <v>19</v>
      </c>
      <c r="D216" t="s">
        <v>26</v>
      </c>
      <c r="E216" t="s">
        <v>70</v>
      </c>
      <c r="F216" t="s">
        <v>20</v>
      </c>
      <c r="G216" t="s">
        <v>36</v>
      </c>
      <c r="H216">
        <v>33</v>
      </c>
      <c r="I216">
        <v>1272.98</v>
      </c>
      <c r="J216">
        <v>537.14</v>
      </c>
      <c r="K216">
        <f t="shared" si="18"/>
        <v>42008.340000000004</v>
      </c>
      <c r="L216">
        <v>0.1</v>
      </c>
      <c r="M216">
        <f t="shared" si="19"/>
        <v>4200.8340000000007</v>
      </c>
      <c r="N216">
        <f t="shared" si="20"/>
        <v>37807.506000000001</v>
      </c>
      <c r="O216">
        <f t="shared" si="21"/>
        <v>17725.62</v>
      </c>
      <c r="P216">
        <f t="shared" si="22"/>
        <v>20081.886000000002</v>
      </c>
      <c r="Q216">
        <f t="shared" si="23"/>
        <v>53.116135192837113</v>
      </c>
      <c r="R216" t="s">
        <v>50</v>
      </c>
      <c r="S216" t="s">
        <v>41</v>
      </c>
      <c r="T216">
        <v>4</v>
      </c>
    </row>
    <row r="217" spans="1:20">
      <c r="A217" t="s">
        <v>285</v>
      </c>
      <c r="B217" s="3">
        <v>45441</v>
      </c>
      <c r="C217" t="s">
        <v>19</v>
      </c>
      <c r="D217" t="s">
        <v>30</v>
      </c>
      <c r="E217" t="s">
        <v>70</v>
      </c>
      <c r="F217" t="s">
        <v>20</v>
      </c>
      <c r="G217" t="s">
        <v>31</v>
      </c>
      <c r="H217">
        <v>32</v>
      </c>
      <c r="I217">
        <v>642.54999999999995</v>
      </c>
      <c r="J217">
        <v>347.42</v>
      </c>
      <c r="K217">
        <f t="shared" si="18"/>
        <v>20561.599999999999</v>
      </c>
      <c r="L217">
        <v>0</v>
      </c>
      <c r="M217">
        <f t="shared" si="19"/>
        <v>0</v>
      </c>
      <c r="N217">
        <f t="shared" si="20"/>
        <v>20561.599999999999</v>
      </c>
      <c r="O217">
        <f t="shared" si="21"/>
        <v>11117.44</v>
      </c>
      <c r="P217">
        <f t="shared" si="22"/>
        <v>9444.159999999998</v>
      </c>
      <c r="Q217">
        <f t="shared" si="23"/>
        <v>45.931055948953379</v>
      </c>
      <c r="R217" t="s">
        <v>49</v>
      </c>
      <c r="S217" t="s">
        <v>41</v>
      </c>
      <c r="T217">
        <v>4.3</v>
      </c>
    </row>
    <row r="218" spans="1:20">
      <c r="A218" t="s">
        <v>286</v>
      </c>
      <c r="B218" s="3">
        <v>45443</v>
      </c>
      <c r="C218" t="s">
        <v>19</v>
      </c>
      <c r="D218" t="s">
        <v>28</v>
      </c>
      <c r="E218" t="s">
        <v>68</v>
      </c>
      <c r="F218" t="s">
        <v>23</v>
      </c>
      <c r="G218" t="s">
        <v>37</v>
      </c>
      <c r="H218">
        <v>31</v>
      </c>
      <c r="I218">
        <v>1435.41</v>
      </c>
      <c r="J218">
        <v>1150.04</v>
      </c>
      <c r="K218">
        <f t="shared" si="18"/>
        <v>44497.71</v>
      </c>
      <c r="L218">
        <v>0</v>
      </c>
      <c r="M218">
        <f t="shared" si="19"/>
        <v>0</v>
      </c>
      <c r="N218">
        <f t="shared" si="20"/>
        <v>44497.71</v>
      </c>
      <c r="O218">
        <f t="shared" si="21"/>
        <v>35651.24</v>
      </c>
      <c r="P218">
        <f t="shared" si="22"/>
        <v>8846.4700000000012</v>
      </c>
      <c r="Q218">
        <f t="shared" si="23"/>
        <v>19.880730940985504</v>
      </c>
      <c r="R218" t="s">
        <v>50</v>
      </c>
      <c r="S218" t="s">
        <v>41</v>
      </c>
      <c r="T218">
        <v>3.6</v>
      </c>
    </row>
    <row r="219" spans="1:20">
      <c r="A219" t="s">
        <v>287</v>
      </c>
      <c r="B219" s="3">
        <v>45443</v>
      </c>
      <c r="C219" t="s">
        <v>19</v>
      </c>
      <c r="D219" t="s">
        <v>30</v>
      </c>
      <c r="E219" t="s">
        <v>68</v>
      </c>
      <c r="F219" t="s">
        <v>22</v>
      </c>
      <c r="G219" t="s">
        <v>33</v>
      </c>
      <c r="H219">
        <v>20</v>
      </c>
      <c r="I219">
        <v>424.98</v>
      </c>
      <c r="J219">
        <v>276.54000000000002</v>
      </c>
      <c r="K219">
        <f t="shared" si="18"/>
        <v>8499.6</v>
      </c>
      <c r="L219">
        <v>0.1</v>
      </c>
      <c r="M219">
        <f t="shared" si="19"/>
        <v>849.96</v>
      </c>
      <c r="N219">
        <f t="shared" si="20"/>
        <v>7649.64</v>
      </c>
      <c r="O219">
        <f t="shared" si="21"/>
        <v>5530.8</v>
      </c>
      <c r="P219">
        <f t="shared" si="22"/>
        <v>2118.84</v>
      </c>
      <c r="Q219">
        <f t="shared" si="23"/>
        <v>27.698558363530836</v>
      </c>
      <c r="R219" t="s">
        <v>49</v>
      </c>
      <c r="S219" t="s">
        <v>41</v>
      </c>
      <c r="T219">
        <v>3</v>
      </c>
    </row>
    <row r="220" spans="1:20">
      <c r="A220" t="s">
        <v>288</v>
      </c>
      <c r="B220" s="3">
        <v>45445</v>
      </c>
      <c r="C220" t="s">
        <v>19</v>
      </c>
      <c r="D220" t="s">
        <v>30</v>
      </c>
      <c r="E220" t="s">
        <v>70</v>
      </c>
      <c r="F220" t="s">
        <v>22</v>
      </c>
      <c r="G220" t="s">
        <v>42</v>
      </c>
      <c r="H220">
        <v>25</v>
      </c>
      <c r="I220">
        <v>507.67</v>
      </c>
      <c r="J220">
        <v>340.18</v>
      </c>
      <c r="K220">
        <f t="shared" si="18"/>
        <v>12691.75</v>
      </c>
      <c r="L220">
        <v>0.1</v>
      </c>
      <c r="M220">
        <f t="shared" si="19"/>
        <v>1269.1750000000002</v>
      </c>
      <c r="N220">
        <f t="shared" si="20"/>
        <v>11422.575000000001</v>
      </c>
      <c r="O220">
        <f t="shared" si="21"/>
        <v>8504.5</v>
      </c>
      <c r="P220">
        <f t="shared" si="22"/>
        <v>2918.0750000000007</v>
      </c>
      <c r="Q220">
        <f t="shared" si="23"/>
        <v>25.546560210810615</v>
      </c>
      <c r="R220" t="s">
        <v>51</v>
      </c>
      <c r="S220" t="s">
        <v>45</v>
      </c>
      <c r="T220">
        <v>4.9000000000000004</v>
      </c>
    </row>
    <row r="221" spans="1:20">
      <c r="A221" t="s">
        <v>289</v>
      </c>
      <c r="B221" s="3">
        <v>45445</v>
      </c>
      <c r="C221" t="s">
        <v>19</v>
      </c>
      <c r="D221" t="s">
        <v>28</v>
      </c>
      <c r="E221" t="s">
        <v>68</v>
      </c>
      <c r="F221" t="s">
        <v>22</v>
      </c>
      <c r="G221" t="s">
        <v>42</v>
      </c>
      <c r="H221">
        <v>29</v>
      </c>
      <c r="I221">
        <v>984.45</v>
      </c>
      <c r="J221">
        <v>620.36</v>
      </c>
      <c r="K221">
        <f t="shared" si="18"/>
        <v>28549.050000000003</v>
      </c>
      <c r="L221">
        <v>0</v>
      </c>
      <c r="M221">
        <f t="shared" si="19"/>
        <v>0</v>
      </c>
      <c r="N221">
        <f t="shared" si="20"/>
        <v>28549.050000000003</v>
      </c>
      <c r="O221">
        <f t="shared" si="21"/>
        <v>17990.439999999999</v>
      </c>
      <c r="P221">
        <f t="shared" si="22"/>
        <v>10558.610000000004</v>
      </c>
      <c r="Q221">
        <f t="shared" si="23"/>
        <v>36.98410279851695</v>
      </c>
      <c r="R221" t="s">
        <v>49</v>
      </c>
      <c r="S221" t="s">
        <v>45</v>
      </c>
      <c r="T221">
        <v>3.6</v>
      </c>
    </row>
    <row r="222" spans="1:20">
      <c r="A222" t="s">
        <v>290</v>
      </c>
      <c r="B222" s="3">
        <v>45446</v>
      </c>
      <c r="C222" t="s">
        <v>19</v>
      </c>
      <c r="D222" t="s">
        <v>30</v>
      </c>
      <c r="E222" t="s">
        <v>68</v>
      </c>
      <c r="F222" t="s">
        <v>22</v>
      </c>
      <c r="G222" t="s">
        <v>33</v>
      </c>
      <c r="H222">
        <v>18</v>
      </c>
      <c r="I222">
        <v>856.5</v>
      </c>
      <c r="J222">
        <v>572.54999999999995</v>
      </c>
      <c r="K222">
        <f t="shared" si="18"/>
        <v>15417</v>
      </c>
      <c r="L222">
        <v>0.25</v>
      </c>
      <c r="M222">
        <f t="shared" si="19"/>
        <v>3854.25</v>
      </c>
      <c r="N222">
        <f t="shared" si="20"/>
        <v>11562.75</v>
      </c>
      <c r="O222">
        <f t="shared" si="21"/>
        <v>10305.9</v>
      </c>
      <c r="P222">
        <f t="shared" si="22"/>
        <v>1256.8500000000004</v>
      </c>
      <c r="Q222">
        <f t="shared" si="23"/>
        <v>10.869819030939874</v>
      </c>
      <c r="R222" t="s">
        <v>50</v>
      </c>
      <c r="S222" t="s">
        <v>43</v>
      </c>
      <c r="T222">
        <v>4.3</v>
      </c>
    </row>
    <row r="223" spans="1:20">
      <c r="A223" t="s">
        <v>291</v>
      </c>
      <c r="B223" s="3">
        <v>45446</v>
      </c>
      <c r="C223" t="s">
        <v>19</v>
      </c>
      <c r="D223" t="s">
        <v>30</v>
      </c>
      <c r="E223" t="s">
        <v>70</v>
      </c>
      <c r="F223" t="s">
        <v>20</v>
      </c>
      <c r="G223" t="s">
        <v>31</v>
      </c>
      <c r="H223">
        <v>42</v>
      </c>
      <c r="I223">
        <v>48.61</v>
      </c>
      <c r="J223">
        <v>22.26</v>
      </c>
      <c r="K223">
        <f t="shared" si="18"/>
        <v>2041.62</v>
      </c>
      <c r="L223">
        <v>0</v>
      </c>
      <c r="M223">
        <f t="shared" si="19"/>
        <v>0</v>
      </c>
      <c r="N223">
        <f t="shared" si="20"/>
        <v>2041.62</v>
      </c>
      <c r="O223">
        <f t="shared" si="21"/>
        <v>934.92000000000007</v>
      </c>
      <c r="P223">
        <f t="shared" si="22"/>
        <v>1106.6999999999998</v>
      </c>
      <c r="Q223">
        <f t="shared" si="23"/>
        <v>54.206953301789753</v>
      </c>
      <c r="R223" t="s">
        <v>50</v>
      </c>
      <c r="S223" t="s">
        <v>41</v>
      </c>
      <c r="T223">
        <v>3.3</v>
      </c>
    </row>
    <row r="224" spans="1:20">
      <c r="A224" t="s">
        <v>292</v>
      </c>
      <c r="B224" s="3">
        <v>45447</v>
      </c>
      <c r="C224" t="s">
        <v>19</v>
      </c>
      <c r="D224" t="s">
        <v>26</v>
      </c>
      <c r="E224" t="s">
        <v>86</v>
      </c>
      <c r="F224" t="s">
        <v>20</v>
      </c>
      <c r="G224" t="s">
        <v>36</v>
      </c>
      <c r="H224">
        <v>13</v>
      </c>
      <c r="I224">
        <v>1322.36</v>
      </c>
      <c r="J224">
        <v>762.45</v>
      </c>
      <c r="K224">
        <f t="shared" si="18"/>
        <v>17190.68</v>
      </c>
      <c r="L224">
        <v>0.05</v>
      </c>
      <c r="M224">
        <f t="shared" si="19"/>
        <v>859.53400000000011</v>
      </c>
      <c r="N224">
        <f t="shared" si="20"/>
        <v>16331.146000000001</v>
      </c>
      <c r="O224">
        <f t="shared" si="21"/>
        <v>9911.85</v>
      </c>
      <c r="P224">
        <f t="shared" si="22"/>
        <v>6419.2960000000003</v>
      </c>
      <c r="Q224">
        <f t="shared" si="23"/>
        <v>39.307076184365755</v>
      </c>
      <c r="R224" t="s">
        <v>49</v>
      </c>
      <c r="S224" t="s">
        <v>41</v>
      </c>
      <c r="T224">
        <v>3.3</v>
      </c>
    </row>
    <row r="225" spans="1:20">
      <c r="A225" t="s">
        <v>293</v>
      </c>
      <c r="B225" s="3">
        <v>45448</v>
      </c>
      <c r="C225" t="s">
        <v>19</v>
      </c>
      <c r="D225" t="s">
        <v>32</v>
      </c>
      <c r="E225" t="s">
        <v>70</v>
      </c>
      <c r="F225" t="s">
        <v>20</v>
      </c>
      <c r="G225" t="s">
        <v>34</v>
      </c>
      <c r="H225">
        <v>39</v>
      </c>
      <c r="I225">
        <v>758.46</v>
      </c>
      <c r="J225">
        <v>385.35</v>
      </c>
      <c r="K225">
        <f t="shared" si="18"/>
        <v>29579.940000000002</v>
      </c>
      <c r="L225">
        <v>0.2</v>
      </c>
      <c r="M225">
        <f t="shared" si="19"/>
        <v>5915.9880000000012</v>
      </c>
      <c r="N225">
        <f t="shared" si="20"/>
        <v>23663.952000000001</v>
      </c>
      <c r="O225">
        <f t="shared" si="21"/>
        <v>15028.650000000001</v>
      </c>
      <c r="P225">
        <f t="shared" si="22"/>
        <v>8635.3019999999997</v>
      </c>
      <c r="Q225">
        <f t="shared" si="23"/>
        <v>36.491377264456922</v>
      </c>
      <c r="R225" t="s">
        <v>49</v>
      </c>
      <c r="S225" t="s">
        <v>41</v>
      </c>
      <c r="T225">
        <v>5</v>
      </c>
    </row>
    <row r="226" spans="1:20">
      <c r="A226" t="s">
        <v>294</v>
      </c>
      <c r="B226" s="3">
        <v>45448</v>
      </c>
      <c r="C226" t="s">
        <v>19</v>
      </c>
      <c r="D226" t="s">
        <v>28</v>
      </c>
      <c r="E226" t="s">
        <v>68</v>
      </c>
      <c r="F226" t="s">
        <v>20</v>
      </c>
      <c r="G226" t="s">
        <v>31</v>
      </c>
      <c r="H226">
        <v>32</v>
      </c>
      <c r="I226">
        <v>215.24</v>
      </c>
      <c r="J226">
        <v>114.87</v>
      </c>
      <c r="K226">
        <f t="shared" si="18"/>
        <v>6887.68</v>
      </c>
      <c r="L226">
        <v>0.05</v>
      </c>
      <c r="M226">
        <f t="shared" si="19"/>
        <v>344.38400000000001</v>
      </c>
      <c r="N226">
        <f t="shared" si="20"/>
        <v>6543.2960000000003</v>
      </c>
      <c r="O226">
        <f t="shared" si="21"/>
        <v>3675.84</v>
      </c>
      <c r="P226">
        <f t="shared" si="22"/>
        <v>2867.4560000000001</v>
      </c>
      <c r="Q226">
        <f t="shared" si="23"/>
        <v>43.822807343577303</v>
      </c>
      <c r="R226" t="s">
        <v>49</v>
      </c>
      <c r="S226" t="s">
        <v>41</v>
      </c>
      <c r="T226">
        <v>3.5</v>
      </c>
    </row>
    <row r="227" spans="1:20">
      <c r="A227" t="s">
        <v>295</v>
      </c>
      <c r="B227" s="3">
        <v>45449</v>
      </c>
      <c r="C227" t="s">
        <v>19</v>
      </c>
      <c r="D227" t="s">
        <v>30</v>
      </c>
      <c r="E227" t="s">
        <v>70</v>
      </c>
      <c r="F227" t="s">
        <v>20</v>
      </c>
      <c r="G227" t="s">
        <v>34</v>
      </c>
      <c r="H227">
        <v>27</v>
      </c>
      <c r="I227">
        <v>277.24</v>
      </c>
      <c r="J227">
        <v>149.43</v>
      </c>
      <c r="K227">
        <f t="shared" si="18"/>
        <v>7485.4800000000005</v>
      </c>
      <c r="L227">
        <v>0.1</v>
      </c>
      <c r="M227">
        <f t="shared" si="19"/>
        <v>748.54800000000012</v>
      </c>
      <c r="N227">
        <f t="shared" si="20"/>
        <v>6736.9320000000007</v>
      </c>
      <c r="O227">
        <f t="shared" si="21"/>
        <v>4034.61</v>
      </c>
      <c r="P227">
        <f t="shared" si="22"/>
        <v>2702.3220000000006</v>
      </c>
      <c r="Q227">
        <f t="shared" si="23"/>
        <v>40.11205694224018</v>
      </c>
      <c r="R227" t="s">
        <v>49</v>
      </c>
      <c r="S227" t="s">
        <v>47</v>
      </c>
      <c r="T227">
        <v>3.6</v>
      </c>
    </row>
    <row r="228" spans="1:20">
      <c r="A228" t="s">
        <v>296</v>
      </c>
      <c r="B228" s="3">
        <v>45450</v>
      </c>
      <c r="C228" t="s">
        <v>19</v>
      </c>
      <c r="D228" t="s">
        <v>26</v>
      </c>
      <c r="E228" t="s">
        <v>68</v>
      </c>
      <c r="F228" t="s">
        <v>24</v>
      </c>
      <c r="G228" t="s">
        <v>40</v>
      </c>
      <c r="H228">
        <v>18</v>
      </c>
      <c r="I228">
        <v>510.04</v>
      </c>
      <c r="J228">
        <v>257.77</v>
      </c>
      <c r="K228">
        <f t="shared" si="18"/>
        <v>9180.7200000000012</v>
      </c>
      <c r="L228">
        <v>0</v>
      </c>
      <c r="M228">
        <f t="shared" si="19"/>
        <v>0</v>
      </c>
      <c r="N228">
        <f t="shared" si="20"/>
        <v>9180.7200000000012</v>
      </c>
      <c r="O228">
        <f t="shared" si="21"/>
        <v>4639.8599999999997</v>
      </c>
      <c r="P228">
        <f t="shared" si="22"/>
        <v>4540.8600000000015</v>
      </c>
      <c r="Q228">
        <f t="shared" si="23"/>
        <v>49.460826601835159</v>
      </c>
      <c r="R228" t="s">
        <v>49</v>
      </c>
      <c r="S228" t="s">
        <v>41</v>
      </c>
      <c r="T228">
        <v>3.6</v>
      </c>
    </row>
    <row r="229" spans="1:20">
      <c r="A229" t="s">
        <v>297</v>
      </c>
      <c r="B229" s="3">
        <v>45452</v>
      </c>
      <c r="C229" t="s">
        <v>19</v>
      </c>
      <c r="D229" t="s">
        <v>26</v>
      </c>
      <c r="E229" t="s">
        <v>70</v>
      </c>
      <c r="F229" t="s">
        <v>22</v>
      </c>
      <c r="G229" t="s">
        <v>35</v>
      </c>
      <c r="H229">
        <v>30</v>
      </c>
      <c r="I229">
        <v>1143.83</v>
      </c>
      <c r="J229">
        <v>825.14</v>
      </c>
      <c r="K229">
        <f t="shared" si="18"/>
        <v>34314.899999999994</v>
      </c>
      <c r="L229">
        <v>0</v>
      </c>
      <c r="M229">
        <f t="shared" si="19"/>
        <v>0</v>
      </c>
      <c r="N229">
        <f t="shared" si="20"/>
        <v>34314.899999999994</v>
      </c>
      <c r="O229">
        <f t="shared" si="21"/>
        <v>24754.2</v>
      </c>
      <c r="P229">
        <f t="shared" si="22"/>
        <v>9560.6999999999935</v>
      </c>
      <c r="Q229">
        <f t="shared" si="23"/>
        <v>27.861657763828529</v>
      </c>
      <c r="R229" t="s">
        <v>50</v>
      </c>
      <c r="S229" t="s">
        <v>41</v>
      </c>
      <c r="T229">
        <v>4.4000000000000004</v>
      </c>
    </row>
    <row r="230" spans="1:20">
      <c r="A230" t="s">
        <v>298</v>
      </c>
      <c r="B230" s="3">
        <v>45453</v>
      </c>
      <c r="C230" t="s">
        <v>19</v>
      </c>
      <c r="D230" t="s">
        <v>26</v>
      </c>
      <c r="E230" t="s">
        <v>68</v>
      </c>
      <c r="F230" t="s">
        <v>23</v>
      </c>
      <c r="G230" t="s">
        <v>44</v>
      </c>
      <c r="H230">
        <v>22</v>
      </c>
      <c r="I230">
        <v>1213</v>
      </c>
      <c r="J230">
        <v>868.74</v>
      </c>
      <c r="K230">
        <f t="shared" si="18"/>
        <v>26686</v>
      </c>
      <c r="L230">
        <v>0.25</v>
      </c>
      <c r="M230">
        <f t="shared" si="19"/>
        <v>6671.5</v>
      </c>
      <c r="N230">
        <f t="shared" si="20"/>
        <v>20014.5</v>
      </c>
      <c r="O230">
        <f t="shared" si="21"/>
        <v>19112.28</v>
      </c>
      <c r="P230">
        <f t="shared" si="22"/>
        <v>902.22000000000116</v>
      </c>
      <c r="Q230">
        <f t="shared" si="23"/>
        <v>4.5078318219291074</v>
      </c>
      <c r="R230" t="s">
        <v>49</v>
      </c>
      <c r="S230" t="s">
        <v>41</v>
      </c>
      <c r="T230">
        <v>4.5</v>
      </c>
    </row>
    <row r="231" spans="1:20">
      <c r="A231" t="s">
        <v>299</v>
      </c>
      <c r="B231" s="3">
        <v>45454</v>
      </c>
      <c r="C231" t="s">
        <v>19</v>
      </c>
      <c r="D231" t="s">
        <v>32</v>
      </c>
      <c r="E231" t="s">
        <v>68</v>
      </c>
      <c r="F231" t="s">
        <v>24</v>
      </c>
      <c r="G231" t="s">
        <v>29</v>
      </c>
      <c r="H231">
        <v>31</v>
      </c>
      <c r="I231">
        <v>48.84</v>
      </c>
      <c r="J231">
        <v>28.02</v>
      </c>
      <c r="K231">
        <f t="shared" si="18"/>
        <v>1514.0400000000002</v>
      </c>
      <c r="L231">
        <v>0.05</v>
      </c>
      <c r="M231">
        <f t="shared" si="19"/>
        <v>75.702000000000012</v>
      </c>
      <c r="N231">
        <f t="shared" si="20"/>
        <v>1438.3380000000002</v>
      </c>
      <c r="O231">
        <f t="shared" si="21"/>
        <v>868.62</v>
      </c>
      <c r="P231">
        <f t="shared" si="22"/>
        <v>569.71800000000019</v>
      </c>
      <c r="Q231">
        <f t="shared" si="23"/>
        <v>39.609465925255407</v>
      </c>
      <c r="R231" t="s">
        <v>49</v>
      </c>
      <c r="S231" t="s">
        <v>41</v>
      </c>
      <c r="T231">
        <v>3.9</v>
      </c>
    </row>
    <row r="232" spans="1:20">
      <c r="A232" t="s">
        <v>300</v>
      </c>
      <c r="B232" s="3">
        <v>45455</v>
      </c>
      <c r="C232" t="s">
        <v>19</v>
      </c>
      <c r="D232" t="s">
        <v>32</v>
      </c>
      <c r="E232" t="s">
        <v>70</v>
      </c>
      <c r="F232" t="s">
        <v>24</v>
      </c>
      <c r="G232" t="s">
        <v>29</v>
      </c>
      <c r="H232">
        <v>36</v>
      </c>
      <c r="I232">
        <v>1344.86</v>
      </c>
      <c r="J232">
        <v>727.62</v>
      </c>
      <c r="K232">
        <f t="shared" si="18"/>
        <v>48414.96</v>
      </c>
      <c r="L232">
        <v>0.2</v>
      </c>
      <c r="M232">
        <f t="shared" si="19"/>
        <v>9682.9920000000002</v>
      </c>
      <c r="N232">
        <f t="shared" si="20"/>
        <v>38731.968000000001</v>
      </c>
      <c r="O232">
        <f t="shared" si="21"/>
        <v>26194.32</v>
      </c>
      <c r="P232">
        <f t="shared" si="22"/>
        <v>12537.648000000001</v>
      </c>
      <c r="Q232">
        <f t="shared" si="23"/>
        <v>32.370283895721492</v>
      </c>
      <c r="R232" t="s">
        <v>50</v>
      </c>
      <c r="S232" t="s">
        <v>43</v>
      </c>
      <c r="T232">
        <v>4</v>
      </c>
    </row>
    <row r="233" spans="1:20">
      <c r="A233" t="s">
        <v>301</v>
      </c>
      <c r="B233" s="3">
        <v>45456</v>
      </c>
      <c r="C233" t="s">
        <v>19</v>
      </c>
      <c r="D233" t="s">
        <v>28</v>
      </c>
      <c r="E233" t="s">
        <v>68</v>
      </c>
      <c r="F233" t="s">
        <v>22</v>
      </c>
      <c r="G233" t="s">
        <v>33</v>
      </c>
      <c r="H233">
        <v>23</v>
      </c>
      <c r="I233">
        <v>276.72000000000003</v>
      </c>
      <c r="J233">
        <v>193.56</v>
      </c>
      <c r="K233">
        <f t="shared" si="18"/>
        <v>6364.56</v>
      </c>
      <c r="L233">
        <v>0</v>
      </c>
      <c r="M233">
        <f t="shared" si="19"/>
        <v>0</v>
      </c>
      <c r="N233">
        <f t="shared" si="20"/>
        <v>6364.56</v>
      </c>
      <c r="O233">
        <f t="shared" si="21"/>
        <v>4451.88</v>
      </c>
      <c r="P233">
        <f t="shared" si="22"/>
        <v>1912.6800000000003</v>
      </c>
      <c r="Q233">
        <f t="shared" si="23"/>
        <v>30.052038161318301</v>
      </c>
      <c r="R233" t="s">
        <v>49</v>
      </c>
      <c r="S233" t="s">
        <v>43</v>
      </c>
      <c r="T233">
        <v>3.2</v>
      </c>
    </row>
    <row r="234" spans="1:20">
      <c r="A234" t="s">
        <v>302</v>
      </c>
      <c r="B234" s="3">
        <v>45457</v>
      </c>
      <c r="C234" t="s">
        <v>19</v>
      </c>
      <c r="D234" t="s">
        <v>28</v>
      </c>
      <c r="E234" t="s">
        <v>68</v>
      </c>
      <c r="F234" t="s">
        <v>20</v>
      </c>
      <c r="G234" t="s">
        <v>36</v>
      </c>
      <c r="H234">
        <v>12</v>
      </c>
      <c r="I234">
        <v>843.36</v>
      </c>
      <c r="J234">
        <v>384.38</v>
      </c>
      <c r="K234">
        <f t="shared" si="18"/>
        <v>10120.32</v>
      </c>
      <c r="L234">
        <v>0</v>
      </c>
      <c r="M234">
        <f t="shared" si="19"/>
        <v>0</v>
      </c>
      <c r="N234">
        <f t="shared" si="20"/>
        <v>10120.32</v>
      </c>
      <c r="O234">
        <f t="shared" si="21"/>
        <v>4612.5599999999995</v>
      </c>
      <c r="P234">
        <f t="shared" si="22"/>
        <v>5507.76</v>
      </c>
      <c r="Q234">
        <f t="shared" si="23"/>
        <v>54.422785050275088</v>
      </c>
      <c r="R234" t="s">
        <v>51</v>
      </c>
      <c r="S234" t="s">
        <v>41</v>
      </c>
      <c r="T234">
        <v>4.9000000000000004</v>
      </c>
    </row>
    <row r="235" spans="1:20">
      <c r="A235" t="s">
        <v>303</v>
      </c>
      <c r="B235" s="3">
        <v>45459</v>
      </c>
      <c r="C235" t="s">
        <v>19</v>
      </c>
      <c r="D235" t="s">
        <v>26</v>
      </c>
      <c r="E235" t="s">
        <v>86</v>
      </c>
      <c r="F235" t="s">
        <v>22</v>
      </c>
      <c r="G235" t="s">
        <v>33</v>
      </c>
      <c r="H235">
        <v>46</v>
      </c>
      <c r="I235">
        <v>1280.82</v>
      </c>
      <c r="J235">
        <v>898.49</v>
      </c>
      <c r="K235">
        <f t="shared" si="18"/>
        <v>58917.719999999994</v>
      </c>
      <c r="L235">
        <v>0</v>
      </c>
      <c r="M235">
        <f t="shared" si="19"/>
        <v>0</v>
      </c>
      <c r="N235">
        <f t="shared" si="20"/>
        <v>58917.719999999994</v>
      </c>
      <c r="O235">
        <f t="shared" si="21"/>
        <v>41330.54</v>
      </c>
      <c r="P235">
        <f t="shared" si="22"/>
        <v>17587.179999999993</v>
      </c>
      <c r="Q235">
        <f t="shared" si="23"/>
        <v>29.8504083321622</v>
      </c>
      <c r="R235" t="s">
        <v>51</v>
      </c>
      <c r="S235" t="s">
        <v>41</v>
      </c>
      <c r="T235">
        <v>3.3</v>
      </c>
    </row>
    <row r="236" spans="1:20">
      <c r="A236" t="s">
        <v>304</v>
      </c>
      <c r="B236" s="3">
        <v>45459</v>
      </c>
      <c r="C236" t="s">
        <v>19</v>
      </c>
      <c r="D236" t="s">
        <v>26</v>
      </c>
      <c r="E236" t="s">
        <v>68</v>
      </c>
      <c r="F236" t="s">
        <v>23</v>
      </c>
      <c r="G236" t="s">
        <v>37</v>
      </c>
      <c r="H236">
        <v>34</v>
      </c>
      <c r="I236">
        <v>550.77</v>
      </c>
      <c r="J236">
        <v>452.02</v>
      </c>
      <c r="K236">
        <f t="shared" si="18"/>
        <v>18726.18</v>
      </c>
      <c r="L236">
        <v>0.1</v>
      </c>
      <c r="M236">
        <f t="shared" si="19"/>
        <v>1872.6180000000002</v>
      </c>
      <c r="N236">
        <f t="shared" si="20"/>
        <v>16853.562000000002</v>
      </c>
      <c r="O236">
        <f t="shared" si="21"/>
        <v>15368.68</v>
      </c>
      <c r="P236">
        <f t="shared" si="22"/>
        <v>1484.8820000000014</v>
      </c>
      <c r="Q236">
        <f t="shared" si="23"/>
        <v>8.8104935917997693</v>
      </c>
      <c r="R236" t="s">
        <v>50</v>
      </c>
      <c r="S236" t="s">
        <v>41</v>
      </c>
      <c r="T236">
        <v>4</v>
      </c>
    </row>
    <row r="237" spans="1:20">
      <c r="A237" t="s">
        <v>305</v>
      </c>
      <c r="B237" s="3">
        <v>45462</v>
      </c>
      <c r="C237" t="s">
        <v>19</v>
      </c>
      <c r="D237" t="s">
        <v>26</v>
      </c>
      <c r="E237" t="s">
        <v>68</v>
      </c>
      <c r="F237" t="s">
        <v>23</v>
      </c>
      <c r="G237" t="s">
        <v>44</v>
      </c>
      <c r="H237">
        <v>8</v>
      </c>
      <c r="I237">
        <v>895.43</v>
      </c>
      <c r="J237">
        <v>664.08</v>
      </c>
      <c r="K237">
        <f t="shared" si="18"/>
        <v>7163.44</v>
      </c>
      <c r="L237">
        <v>0</v>
      </c>
      <c r="M237">
        <f t="shared" si="19"/>
        <v>0</v>
      </c>
      <c r="N237">
        <f t="shared" si="20"/>
        <v>7163.44</v>
      </c>
      <c r="O237">
        <f t="shared" si="21"/>
        <v>5312.64</v>
      </c>
      <c r="P237">
        <f t="shared" si="22"/>
        <v>1850.7999999999993</v>
      </c>
      <c r="Q237">
        <f t="shared" si="23"/>
        <v>25.836748824587062</v>
      </c>
      <c r="R237" t="s">
        <v>50</v>
      </c>
      <c r="S237" t="s">
        <v>41</v>
      </c>
      <c r="T237">
        <v>4.5</v>
      </c>
    </row>
    <row r="238" spans="1:20">
      <c r="A238" t="s">
        <v>306</v>
      </c>
      <c r="B238" s="3">
        <v>45462</v>
      </c>
      <c r="C238" t="s">
        <v>19</v>
      </c>
      <c r="D238" t="s">
        <v>26</v>
      </c>
      <c r="E238" t="s">
        <v>68</v>
      </c>
      <c r="F238" t="s">
        <v>24</v>
      </c>
      <c r="G238" t="s">
        <v>46</v>
      </c>
      <c r="H238">
        <v>33</v>
      </c>
      <c r="I238">
        <v>896.15</v>
      </c>
      <c r="J238">
        <v>576.98</v>
      </c>
      <c r="K238">
        <f t="shared" si="18"/>
        <v>29572.95</v>
      </c>
      <c r="L238">
        <v>0.2</v>
      </c>
      <c r="M238">
        <f t="shared" si="19"/>
        <v>5914.59</v>
      </c>
      <c r="N238">
        <f t="shared" si="20"/>
        <v>23658.36</v>
      </c>
      <c r="O238">
        <f t="shared" si="21"/>
        <v>19040.34</v>
      </c>
      <c r="P238">
        <f t="shared" si="22"/>
        <v>4618.0200000000004</v>
      </c>
      <c r="Q238">
        <f t="shared" si="23"/>
        <v>19.519611672153101</v>
      </c>
      <c r="R238" t="s">
        <v>51</v>
      </c>
      <c r="S238" t="s">
        <v>41</v>
      </c>
      <c r="T238">
        <v>4.0999999999999996</v>
      </c>
    </row>
    <row r="239" spans="1:20">
      <c r="A239" t="s">
        <v>307</v>
      </c>
      <c r="B239" s="3">
        <v>45462</v>
      </c>
      <c r="C239" t="s">
        <v>19</v>
      </c>
      <c r="D239" t="s">
        <v>26</v>
      </c>
      <c r="E239" t="s">
        <v>70</v>
      </c>
      <c r="F239" t="s">
        <v>23</v>
      </c>
      <c r="G239" t="s">
        <v>37</v>
      </c>
      <c r="H239">
        <v>9</v>
      </c>
      <c r="I239">
        <v>469.45</v>
      </c>
      <c r="J239">
        <v>397.32</v>
      </c>
      <c r="K239">
        <f t="shared" si="18"/>
        <v>4225.05</v>
      </c>
      <c r="L239">
        <v>0.05</v>
      </c>
      <c r="M239">
        <f t="shared" si="19"/>
        <v>211.25250000000003</v>
      </c>
      <c r="N239">
        <f t="shared" si="20"/>
        <v>4013.7975000000001</v>
      </c>
      <c r="O239">
        <f t="shared" si="21"/>
        <v>3575.88</v>
      </c>
      <c r="P239">
        <f t="shared" si="22"/>
        <v>437.91750000000002</v>
      </c>
      <c r="Q239">
        <f t="shared" si="23"/>
        <v>10.910303770930147</v>
      </c>
      <c r="R239" t="s">
        <v>49</v>
      </c>
      <c r="S239" t="s">
        <v>47</v>
      </c>
      <c r="T239">
        <v>3.5</v>
      </c>
    </row>
    <row r="240" spans="1:20">
      <c r="A240" t="s">
        <v>308</v>
      </c>
      <c r="B240" s="3">
        <v>45462</v>
      </c>
      <c r="C240" t="s">
        <v>19</v>
      </c>
      <c r="D240" t="s">
        <v>32</v>
      </c>
      <c r="E240" t="s">
        <v>70</v>
      </c>
      <c r="F240" t="s">
        <v>22</v>
      </c>
      <c r="G240" t="s">
        <v>35</v>
      </c>
      <c r="H240">
        <v>18</v>
      </c>
      <c r="I240">
        <v>1335.51</v>
      </c>
      <c r="J240">
        <v>896</v>
      </c>
      <c r="K240">
        <f t="shared" si="18"/>
        <v>24039.18</v>
      </c>
      <c r="L240">
        <v>0.25</v>
      </c>
      <c r="M240">
        <f t="shared" si="19"/>
        <v>6009.7950000000001</v>
      </c>
      <c r="N240">
        <f t="shared" si="20"/>
        <v>18029.385000000002</v>
      </c>
      <c r="O240">
        <f t="shared" si="21"/>
        <v>16128</v>
      </c>
      <c r="P240">
        <f t="shared" si="22"/>
        <v>1901.385000000002</v>
      </c>
      <c r="Q240">
        <f t="shared" si="23"/>
        <v>10.546033600147769</v>
      </c>
      <c r="R240" t="s">
        <v>49</v>
      </c>
      <c r="S240" t="s">
        <v>43</v>
      </c>
      <c r="T240">
        <v>4.2</v>
      </c>
    </row>
    <row r="241" spans="1:20">
      <c r="A241" t="s">
        <v>309</v>
      </c>
      <c r="B241" s="3">
        <v>45463</v>
      </c>
      <c r="C241" t="s">
        <v>19</v>
      </c>
      <c r="D241" t="s">
        <v>28</v>
      </c>
      <c r="E241" t="s">
        <v>68</v>
      </c>
      <c r="F241" t="s">
        <v>24</v>
      </c>
      <c r="G241" t="s">
        <v>40</v>
      </c>
      <c r="H241">
        <v>29</v>
      </c>
      <c r="I241">
        <v>833.22</v>
      </c>
      <c r="J241">
        <v>553.74</v>
      </c>
      <c r="K241">
        <f t="shared" si="18"/>
        <v>24163.38</v>
      </c>
      <c r="L241">
        <v>0</v>
      </c>
      <c r="M241">
        <f t="shared" si="19"/>
        <v>0</v>
      </c>
      <c r="N241">
        <f t="shared" si="20"/>
        <v>24163.38</v>
      </c>
      <c r="O241">
        <f t="shared" si="21"/>
        <v>16058.460000000001</v>
      </c>
      <c r="P241">
        <f t="shared" si="22"/>
        <v>8104.92</v>
      </c>
      <c r="Q241">
        <f t="shared" si="23"/>
        <v>33.542161733995826</v>
      </c>
      <c r="R241" t="s">
        <v>49</v>
      </c>
      <c r="S241" t="s">
        <v>43</v>
      </c>
      <c r="T241">
        <v>4.7</v>
      </c>
    </row>
    <row r="242" spans="1:20">
      <c r="A242" t="s">
        <v>310</v>
      </c>
      <c r="B242" s="3">
        <v>45464</v>
      </c>
      <c r="C242" t="s">
        <v>19</v>
      </c>
      <c r="D242" t="s">
        <v>30</v>
      </c>
      <c r="E242" t="s">
        <v>70</v>
      </c>
      <c r="F242" t="s">
        <v>20</v>
      </c>
      <c r="G242" t="s">
        <v>31</v>
      </c>
      <c r="H242">
        <v>2</v>
      </c>
      <c r="I242">
        <v>802.32</v>
      </c>
      <c r="J242">
        <v>292.75</v>
      </c>
      <c r="K242">
        <f t="shared" si="18"/>
        <v>1604.64</v>
      </c>
      <c r="L242">
        <v>0.2</v>
      </c>
      <c r="M242">
        <f t="shared" si="19"/>
        <v>320.92800000000005</v>
      </c>
      <c r="N242">
        <f t="shared" si="20"/>
        <v>1283.712</v>
      </c>
      <c r="O242">
        <f t="shared" si="21"/>
        <v>585.5</v>
      </c>
      <c r="P242">
        <f t="shared" si="22"/>
        <v>698.21199999999999</v>
      </c>
      <c r="Q242">
        <f t="shared" si="23"/>
        <v>54.390081264333432</v>
      </c>
      <c r="R242" t="s">
        <v>50</v>
      </c>
      <c r="S242" t="s">
        <v>41</v>
      </c>
      <c r="T242">
        <v>5</v>
      </c>
    </row>
    <row r="243" spans="1:20">
      <c r="A243" t="s">
        <v>311</v>
      </c>
      <c r="B243" s="3">
        <v>45464</v>
      </c>
      <c r="C243" t="s">
        <v>19</v>
      </c>
      <c r="D243" t="s">
        <v>28</v>
      </c>
      <c r="E243" t="s">
        <v>68</v>
      </c>
      <c r="F243" t="s">
        <v>22</v>
      </c>
      <c r="G243" t="s">
        <v>33</v>
      </c>
      <c r="H243">
        <v>30</v>
      </c>
      <c r="I243">
        <v>622.21</v>
      </c>
      <c r="J243">
        <v>379.06</v>
      </c>
      <c r="K243">
        <f t="shared" si="18"/>
        <v>18666.300000000003</v>
      </c>
      <c r="L243">
        <v>0.15</v>
      </c>
      <c r="M243">
        <f t="shared" si="19"/>
        <v>2799.9450000000002</v>
      </c>
      <c r="N243">
        <f t="shared" si="20"/>
        <v>15866.355000000003</v>
      </c>
      <c r="O243">
        <f t="shared" si="21"/>
        <v>11371.8</v>
      </c>
      <c r="P243">
        <f t="shared" si="22"/>
        <v>4494.5550000000039</v>
      </c>
      <c r="Q243">
        <f t="shared" si="23"/>
        <v>28.327583745605107</v>
      </c>
      <c r="R243" t="s">
        <v>49</v>
      </c>
      <c r="S243" t="s">
        <v>41</v>
      </c>
      <c r="T243">
        <v>4</v>
      </c>
    </row>
    <row r="244" spans="1:20">
      <c r="A244" t="s">
        <v>312</v>
      </c>
      <c r="B244" s="3">
        <v>45465</v>
      </c>
      <c r="C244" t="s">
        <v>19</v>
      </c>
      <c r="D244" t="s">
        <v>30</v>
      </c>
      <c r="E244" t="s">
        <v>70</v>
      </c>
      <c r="F244" t="s">
        <v>24</v>
      </c>
      <c r="G244" t="s">
        <v>29</v>
      </c>
      <c r="H244">
        <v>18</v>
      </c>
      <c r="I244">
        <v>575.41</v>
      </c>
      <c r="J244">
        <v>297.5</v>
      </c>
      <c r="K244">
        <f t="shared" si="18"/>
        <v>10357.379999999999</v>
      </c>
      <c r="L244">
        <v>0.15</v>
      </c>
      <c r="M244">
        <f t="shared" si="19"/>
        <v>1553.6069999999997</v>
      </c>
      <c r="N244">
        <f t="shared" si="20"/>
        <v>8803.7729999999992</v>
      </c>
      <c r="O244">
        <f t="shared" si="21"/>
        <v>5355</v>
      </c>
      <c r="P244">
        <f t="shared" si="22"/>
        <v>3448.7729999999992</v>
      </c>
      <c r="Q244">
        <f t="shared" si="23"/>
        <v>39.173806503189027</v>
      </c>
      <c r="R244" t="s">
        <v>50</v>
      </c>
      <c r="S244" t="s">
        <v>43</v>
      </c>
      <c r="T244">
        <v>3.5</v>
      </c>
    </row>
    <row r="245" spans="1:20">
      <c r="A245" t="s">
        <v>313</v>
      </c>
      <c r="B245" s="3">
        <v>45465</v>
      </c>
      <c r="C245" t="s">
        <v>19</v>
      </c>
      <c r="D245" t="s">
        <v>30</v>
      </c>
      <c r="E245" t="s">
        <v>68</v>
      </c>
      <c r="F245" t="s">
        <v>20</v>
      </c>
      <c r="G245" t="s">
        <v>34</v>
      </c>
      <c r="H245">
        <v>18</v>
      </c>
      <c r="I245">
        <v>276.95999999999998</v>
      </c>
      <c r="J245">
        <v>140.55000000000001</v>
      </c>
      <c r="K245">
        <f t="shared" si="18"/>
        <v>4985.28</v>
      </c>
      <c r="L245">
        <v>0.15</v>
      </c>
      <c r="M245">
        <f t="shared" si="19"/>
        <v>747.79199999999992</v>
      </c>
      <c r="N245">
        <f t="shared" si="20"/>
        <v>4237.4879999999994</v>
      </c>
      <c r="O245">
        <f t="shared" si="21"/>
        <v>2529.9</v>
      </c>
      <c r="P245">
        <f t="shared" si="22"/>
        <v>1707.5879999999993</v>
      </c>
      <c r="Q245">
        <f t="shared" si="23"/>
        <v>40.297176062799458</v>
      </c>
      <c r="R245" t="s">
        <v>51</v>
      </c>
      <c r="S245" t="s">
        <v>43</v>
      </c>
      <c r="T245">
        <v>5</v>
      </c>
    </row>
    <row r="246" spans="1:20">
      <c r="A246" t="s">
        <v>314</v>
      </c>
      <c r="B246" s="3">
        <v>45466</v>
      </c>
      <c r="C246" t="s">
        <v>19</v>
      </c>
      <c r="D246" t="s">
        <v>26</v>
      </c>
      <c r="E246" t="s">
        <v>68</v>
      </c>
      <c r="F246" t="s">
        <v>24</v>
      </c>
      <c r="G246" t="s">
        <v>29</v>
      </c>
      <c r="H246">
        <v>34</v>
      </c>
      <c r="I246">
        <v>593.13</v>
      </c>
      <c r="J246">
        <v>413.36</v>
      </c>
      <c r="K246">
        <f t="shared" si="18"/>
        <v>20166.419999999998</v>
      </c>
      <c r="L246">
        <v>0.15</v>
      </c>
      <c r="M246">
        <f t="shared" si="19"/>
        <v>3024.9629999999997</v>
      </c>
      <c r="N246">
        <f t="shared" si="20"/>
        <v>17141.456999999999</v>
      </c>
      <c r="O246">
        <f t="shared" si="21"/>
        <v>14054.24</v>
      </c>
      <c r="P246">
        <f t="shared" si="22"/>
        <v>3087.2169999999987</v>
      </c>
      <c r="Q246">
        <f t="shared" si="23"/>
        <v>18.010236819425554</v>
      </c>
      <c r="R246" t="s">
        <v>51</v>
      </c>
      <c r="S246" t="s">
        <v>45</v>
      </c>
      <c r="T246">
        <v>4.8</v>
      </c>
    </row>
    <row r="247" spans="1:20">
      <c r="A247" t="s">
        <v>315</v>
      </c>
      <c r="B247" s="3">
        <v>45467</v>
      </c>
      <c r="C247" t="s">
        <v>19</v>
      </c>
      <c r="D247" t="s">
        <v>30</v>
      </c>
      <c r="E247" t="s">
        <v>86</v>
      </c>
      <c r="F247" t="s">
        <v>23</v>
      </c>
      <c r="G247" t="s">
        <v>38</v>
      </c>
      <c r="H247">
        <v>46</v>
      </c>
      <c r="I247">
        <v>75.14</v>
      </c>
      <c r="J247">
        <v>53.41</v>
      </c>
      <c r="K247">
        <f t="shared" si="18"/>
        <v>3456.44</v>
      </c>
      <c r="L247">
        <v>0.1</v>
      </c>
      <c r="M247">
        <f t="shared" si="19"/>
        <v>345.64400000000001</v>
      </c>
      <c r="N247">
        <f t="shared" si="20"/>
        <v>3110.7960000000003</v>
      </c>
      <c r="O247">
        <f t="shared" si="21"/>
        <v>2456.8599999999997</v>
      </c>
      <c r="P247">
        <f t="shared" si="22"/>
        <v>653.9360000000006</v>
      </c>
      <c r="Q247">
        <f t="shared" si="23"/>
        <v>21.021500606275712</v>
      </c>
      <c r="R247" t="s">
        <v>50</v>
      </c>
      <c r="S247" t="s">
        <v>41</v>
      </c>
      <c r="T247">
        <v>4.2</v>
      </c>
    </row>
    <row r="248" spans="1:20">
      <c r="A248" t="s">
        <v>316</v>
      </c>
      <c r="B248" s="3">
        <v>45468</v>
      </c>
      <c r="C248" t="s">
        <v>19</v>
      </c>
      <c r="D248" t="s">
        <v>30</v>
      </c>
      <c r="E248" t="s">
        <v>68</v>
      </c>
      <c r="F248" t="s">
        <v>24</v>
      </c>
      <c r="G248" t="s">
        <v>40</v>
      </c>
      <c r="H248">
        <v>37</v>
      </c>
      <c r="I248">
        <v>348.78</v>
      </c>
      <c r="J248">
        <v>214.28</v>
      </c>
      <c r="K248">
        <f t="shared" si="18"/>
        <v>12904.859999999999</v>
      </c>
      <c r="L248">
        <v>0</v>
      </c>
      <c r="M248">
        <f t="shared" si="19"/>
        <v>0</v>
      </c>
      <c r="N248">
        <f t="shared" si="20"/>
        <v>12904.859999999999</v>
      </c>
      <c r="O248">
        <f t="shared" si="21"/>
        <v>7928.36</v>
      </c>
      <c r="P248">
        <f t="shared" si="22"/>
        <v>4976.4999999999991</v>
      </c>
      <c r="Q248">
        <f t="shared" si="23"/>
        <v>38.562990997190205</v>
      </c>
      <c r="R248" t="s">
        <v>49</v>
      </c>
      <c r="S248" t="s">
        <v>43</v>
      </c>
      <c r="T248">
        <v>4.3</v>
      </c>
    </row>
    <row r="249" spans="1:20">
      <c r="A249" t="s">
        <v>317</v>
      </c>
      <c r="B249" s="3">
        <v>45470</v>
      </c>
      <c r="C249" t="s">
        <v>19</v>
      </c>
      <c r="D249" t="s">
        <v>28</v>
      </c>
      <c r="E249" t="s">
        <v>68</v>
      </c>
      <c r="F249" t="s">
        <v>22</v>
      </c>
      <c r="G249" t="s">
        <v>42</v>
      </c>
      <c r="H249">
        <v>14</v>
      </c>
      <c r="I249">
        <v>217.13</v>
      </c>
      <c r="J249">
        <v>131.72999999999999</v>
      </c>
      <c r="K249">
        <f t="shared" si="18"/>
        <v>3039.8199999999997</v>
      </c>
      <c r="L249">
        <v>0</v>
      </c>
      <c r="M249">
        <f t="shared" si="19"/>
        <v>0</v>
      </c>
      <c r="N249">
        <f t="shared" si="20"/>
        <v>3039.8199999999997</v>
      </c>
      <c r="O249">
        <f t="shared" si="21"/>
        <v>1844.2199999999998</v>
      </c>
      <c r="P249">
        <f t="shared" si="22"/>
        <v>1195.5999999999999</v>
      </c>
      <c r="Q249">
        <f t="shared" si="23"/>
        <v>39.331276193985168</v>
      </c>
      <c r="R249" t="s">
        <v>50</v>
      </c>
      <c r="S249" t="s">
        <v>41</v>
      </c>
      <c r="T249">
        <v>4.9000000000000004</v>
      </c>
    </row>
    <row r="250" spans="1:20">
      <c r="A250" t="s">
        <v>318</v>
      </c>
      <c r="B250" s="3">
        <v>45472</v>
      </c>
      <c r="C250" t="s">
        <v>19</v>
      </c>
      <c r="D250" t="s">
        <v>32</v>
      </c>
      <c r="E250" t="s">
        <v>68</v>
      </c>
      <c r="F250" t="s">
        <v>24</v>
      </c>
      <c r="G250" t="s">
        <v>40</v>
      </c>
      <c r="H250">
        <v>2</v>
      </c>
      <c r="I250">
        <v>1115.74</v>
      </c>
      <c r="J250">
        <v>565.99</v>
      </c>
      <c r="K250">
        <f t="shared" si="18"/>
        <v>2231.48</v>
      </c>
      <c r="L250">
        <v>0.2</v>
      </c>
      <c r="M250">
        <f t="shared" si="19"/>
        <v>446.29600000000005</v>
      </c>
      <c r="N250">
        <f t="shared" si="20"/>
        <v>1785.184</v>
      </c>
      <c r="O250">
        <f t="shared" si="21"/>
        <v>1131.98</v>
      </c>
      <c r="P250">
        <f t="shared" si="22"/>
        <v>653.20399999999995</v>
      </c>
      <c r="Q250">
        <f t="shared" si="23"/>
        <v>36.590289852474591</v>
      </c>
      <c r="R250" t="s">
        <v>50</v>
      </c>
      <c r="S250" t="s">
        <v>47</v>
      </c>
      <c r="T250">
        <v>3.5</v>
      </c>
    </row>
    <row r="251" spans="1:20">
      <c r="A251" t="s">
        <v>319</v>
      </c>
      <c r="B251" s="3">
        <v>45473</v>
      </c>
      <c r="C251" t="s">
        <v>19</v>
      </c>
      <c r="D251" t="s">
        <v>30</v>
      </c>
      <c r="E251" t="s">
        <v>86</v>
      </c>
      <c r="F251" t="s">
        <v>20</v>
      </c>
      <c r="G251" t="s">
        <v>31</v>
      </c>
      <c r="H251">
        <v>8</v>
      </c>
      <c r="I251">
        <v>739.86</v>
      </c>
      <c r="J251">
        <v>286.14</v>
      </c>
      <c r="K251">
        <f t="shared" si="18"/>
        <v>5918.88</v>
      </c>
      <c r="L251">
        <v>0.1</v>
      </c>
      <c r="M251">
        <f t="shared" si="19"/>
        <v>591.88800000000003</v>
      </c>
      <c r="N251">
        <f t="shared" si="20"/>
        <v>5326.9920000000002</v>
      </c>
      <c r="O251">
        <f t="shared" si="21"/>
        <v>2289.12</v>
      </c>
      <c r="P251">
        <f t="shared" si="22"/>
        <v>3037.8720000000003</v>
      </c>
      <c r="Q251">
        <f t="shared" si="23"/>
        <v>57.027906180448561</v>
      </c>
      <c r="R251" t="s">
        <v>49</v>
      </c>
      <c r="S251" t="s">
        <v>43</v>
      </c>
      <c r="T251">
        <v>3.3</v>
      </c>
    </row>
    <row r="252" spans="1:20">
      <c r="A252" t="s">
        <v>320</v>
      </c>
      <c r="B252" s="3">
        <v>45473</v>
      </c>
      <c r="C252" t="s">
        <v>19</v>
      </c>
      <c r="D252" t="s">
        <v>26</v>
      </c>
      <c r="E252" t="s">
        <v>68</v>
      </c>
      <c r="F252" t="s">
        <v>24</v>
      </c>
      <c r="G252" t="s">
        <v>40</v>
      </c>
      <c r="H252">
        <v>23</v>
      </c>
      <c r="I252">
        <v>1060.44</v>
      </c>
      <c r="J252">
        <v>679.86</v>
      </c>
      <c r="K252">
        <f t="shared" si="18"/>
        <v>24390.120000000003</v>
      </c>
      <c r="L252">
        <v>0.15</v>
      </c>
      <c r="M252">
        <f t="shared" si="19"/>
        <v>3658.5180000000005</v>
      </c>
      <c r="N252">
        <f t="shared" si="20"/>
        <v>20731.602000000003</v>
      </c>
      <c r="O252">
        <f t="shared" si="21"/>
        <v>15636.78</v>
      </c>
      <c r="P252">
        <f t="shared" si="22"/>
        <v>5094.8220000000019</v>
      </c>
      <c r="Q252">
        <f t="shared" si="23"/>
        <v>24.575148606460807</v>
      </c>
      <c r="R252" t="s">
        <v>49</v>
      </c>
      <c r="S252" t="s">
        <v>43</v>
      </c>
      <c r="T252">
        <v>4.5</v>
      </c>
    </row>
    <row r="253" spans="1:20">
      <c r="A253" t="s">
        <v>321</v>
      </c>
      <c r="B253" s="3">
        <v>45473</v>
      </c>
      <c r="C253" t="s">
        <v>19</v>
      </c>
      <c r="D253" t="s">
        <v>30</v>
      </c>
      <c r="E253" t="s">
        <v>68</v>
      </c>
      <c r="F253" t="s">
        <v>20</v>
      </c>
      <c r="G253" t="s">
        <v>34</v>
      </c>
      <c r="H253">
        <v>42</v>
      </c>
      <c r="I253">
        <v>1406.5</v>
      </c>
      <c r="J253">
        <v>708.49</v>
      </c>
      <c r="K253">
        <f t="shared" si="18"/>
        <v>59073</v>
      </c>
      <c r="L253">
        <v>0.05</v>
      </c>
      <c r="M253">
        <f t="shared" si="19"/>
        <v>2953.65</v>
      </c>
      <c r="N253">
        <f t="shared" si="20"/>
        <v>56119.35</v>
      </c>
      <c r="O253">
        <f t="shared" si="21"/>
        <v>29756.58</v>
      </c>
      <c r="P253">
        <f t="shared" si="22"/>
        <v>26362.769999999997</v>
      </c>
      <c r="Q253">
        <f t="shared" si="23"/>
        <v>46.976256852582928</v>
      </c>
      <c r="R253" t="s">
        <v>51</v>
      </c>
      <c r="S253" t="s">
        <v>41</v>
      </c>
      <c r="T253">
        <v>4.0999999999999996</v>
      </c>
    </row>
    <row r="254" spans="1:20">
      <c r="A254" t="s">
        <v>322</v>
      </c>
      <c r="B254" s="3">
        <v>45473</v>
      </c>
      <c r="C254" t="s">
        <v>19</v>
      </c>
      <c r="D254" t="s">
        <v>26</v>
      </c>
      <c r="E254" t="s">
        <v>68</v>
      </c>
      <c r="F254" t="s">
        <v>23</v>
      </c>
      <c r="G254" t="s">
        <v>37</v>
      </c>
      <c r="H254">
        <v>37</v>
      </c>
      <c r="I254">
        <v>426.93</v>
      </c>
      <c r="J254">
        <v>308.38</v>
      </c>
      <c r="K254">
        <f t="shared" si="18"/>
        <v>15796.41</v>
      </c>
      <c r="L254">
        <v>0</v>
      </c>
      <c r="M254">
        <f t="shared" si="19"/>
        <v>0</v>
      </c>
      <c r="N254">
        <f t="shared" si="20"/>
        <v>15796.41</v>
      </c>
      <c r="O254">
        <f t="shared" si="21"/>
        <v>11410.06</v>
      </c>
      <c r="P254">
        <f t="shared" si="22"/>
        <v>4386.3500000000004</v>
      </c>
      <c r="Q254">
        <f t="shared" si="23"/>
        <v>27.768018176281828</v>
      </c>
      <c r="R254" t="s">
        <v>50</v>
      </c>
      <c r="S254" t="s">
        <v>43</v>
      </c>
      <c r="T254">
        <v>4.9000000000000004</v>
      </c>
    </row>
    <row r="255" spans="1:20">
      <c r="A255" t="s">
        <v>323</v>
      </c>
      <c r="B255" s="3">
        <v>45474</v>
      </c>
      <c r="C255" t="s">
        <v>19</v>
      </c>
      <c r="D255" t="s">
        <v>28</v>
      </c>
      <c r="E255" t="s">
        <v>68</v>
      </c>
      <c r="F255" t="s">
        <v>23</v>
      </c>
      <c r="G255" t="s">
        <v>38</v>
      </c>
      <c r="H255">
        <v>34</v>
      </c>
      <c r="I255">
        <v>191.73</v>
      </c>
      <c r="J255">
        <v>153.86000000000001</v>
      </c>
      <c r="K255">
        <f t="shared" si="18"/>
        <v>6518.82</v>
      </c>
      <c r="L255">
        <v>0</v>
      </c>
      <c r="M255">
        <f t="shared" si="19"/>
        <v>0</v>
      </c>
      <c r="N255">
        <f t="shared" si="20"/>
        <v>6518.82</v>
      </c>
      <c r="O255">
        <f t="shared" si="21"/>
        <v>5231.2400000000007</v>
      </c>
      <c r="P255">
        <f t="shared" si="22"/>
        <v>1287.579999999999</v>
      </c>
      <c r="Q255">
        <f t="shared" si="23"/>
        <v>19.751734209565523</v>
      </c>
      <c r="R255" t="s">
        <v>50</v>
      </c>
      <c r="S255" t="s">
        <v>41</v>
      </c>
      <c r="T255">
        <v>3.1</v>
      </c>
    </row>
    <row r="256" spans="1:20">
      <c r="A256" t="s">
        <v>324</v>
      </c>
      <c r="B256" s="3">
        <v>45474</v>
      </c>
      <c r="C256" t="s">
        <v>19</v>
      </c>
      <c r="D256" t="s">
        <v>32</v>
      </c>
      <c r="E256" t="s">
        <v>68</v>
      </c>
      <c r="F256" t="s">
        <v>23</v>
      </c>
      <c r="G256" t="s">
        <v>44</v>
      </c>
      <c r="H256">
        <v>16</v>
      </c>
      <c r="I256">
        <v>451.3</v>
      </c>
      <c r="J256">
        <v>372.13</v>
      </c>
      <c r="K256">
        <f t="shared" si="18"/>
        <v>7220.8</v>
      </c>
      <c r="L256">
        <v>0.1</v>
      </c>
      <c r="M256">
        <f t="shared" si="19"/>
        <v>722.08</v>
      </c>
      <c r="N256">
        <f t="shared" si="20"/>
        <v>6498.72</v>
      </c>
      <c r="O256">
        <f t="shared" si="21"/>
        <v>5954.08</v>
      </c>
      <c r="P256">
        <f t="shared" si="22"/>
        <v>544.64000000000033</v>
      </c>
      <c r="Q256">
        <f t="shared" si="23"/>
        <v>8.3807272816800893</v>
      </c>
      <c r="R256" t="s">
        <v>51</v>
      </c>
      <c r="S256" t="s">
        <v>41</v>
      </c>
      <c r="T256">
        <v>4.0999999999999996</v>
      </c>
    </row>
    <row r="257" spans="1:20">
      <c r="A257" t="s">
        <v>325</v>
      </c>
      <c r="B257" s="3">
        <v>45474</v>
      </c>
      <c r="C257" t="s">
        <v>19</v>
      </c>
      <c r="D257" t="s">
        <v>26</v>
      </c>
      <c r="E257" t="s">
        <v>70</v>
      </c>
      <c r="F257" t="s">
        <v>23</v>
      </c>
      <c r="G257" t="s">
        <v>38</v>
      </c>
      <c r="H257">
        <v>22</v>
      </c>
      <c r="I257">
        <v>1361.89</v>
      </c>
      <c r="J257">
        <v>1043.8599999999999</v>
      </c>
      <c r="K257">
        <f t="shared" si="18"/>
        <v>29961.58</v>
      </c>
      <c r="L257">
        <v>0.05</v>
      </c>
      <c r="M257">
        <f t="shared" si="19"/>
        <v>1498.0790000000002</v>
      </c>
      <c r="N257">
        <f t="shared" si="20"/>
        <v>28463.501</v>
      </c>
      <c r="O257">
        <f t="shared" si="21"/>
        <v>22964.92</v>
      </c>
      <c r="P257">
        <f t="shared" si="22"/>
        <v>5498.5810000000019</v>
      </c>
      <c r="Q257">
        <f t="shared" si="23"/>
        <v>19.318006593777771</v>
      </c>
      <c r="R257" t="s">
        <v>50</v>
      </c>
      <c r="S257" t="s">
        <v>41</v>
      </c>
      <c r="T257">
        <v>4.9000000000000004</v>
      </c>
    </row>
    <row r="258" spans="1:20">
      <c r="A258" t="s">
        <v>326</v>
      </c>
      <c r="B258" s="3">
        <v>45476</v>
      </c>
      <c r="C258" t="s">
        <v>19</v>
      </c>
      <c r="D258" t="s">
        <v>32</v>
      </c>
      <c r="E258" t="s">
        <v>86</v>
      </c>
      <c r="F258" t="s">
        <v>20</v>
      </c>
      <c r="G258" t="s">
        <v>34</v>
      </c>
      <c r="H258">
        <v>10</v>
      </c>
      <c r="I258">
        <v>1156.82</v>
      </c>
      <c r="J258">
        <v>423.35</v>
      </c>
      <c r="K258">
        <f t="shared" ref="K258:K321" si="24">H258*I258</f>
        <v>11568.199999999999</v>
      </c>
      <c r="L258">
        <v>0</v>
      </c>
      <c r="M258">
        <f t="shared" ref="M258:M321" si="25">K258*L258</f>
        <v>0</v>
      </c>
      <c r="N258">
        <f t="shared" ref="N258:N321" si="26">K258-M258</f>
        <v>11568.199999999999</v>
      </c>
      <c r="O258">
        <f t="shared" ref="O258:O321" si="27">H258*J258</f>
        <v>4233.5</v>
      </c>
      <c r="P258">
        <f t="shared" ref="P258:P321" si="28">N258-O258</f>
        <v>7334.6999999999989</v>
      </c>
      <c r="Q258">
        <f t="shared" ref="Q258:Q321" si="29">IFERROR(P258/N258*100,0)</f>
        <v>63.403986791376354</v>
      </c>
      <c r="R258" t="s">
        <v>50</v>
      </c>
      <c r="S258" t="s">
        <v>43</v>
      </c>
      <c r="T258">
        <v>3.2</v>
      </c>
    </row>
    <row r="259" spans="1:20">
      <c r="A259" t="s">
        <v>327</v>
      </c>
      <c r="B259" s="3">
        <v>45477</v>
      </c>
      <c r="C259" t="s">
        <v>19</v>
      </c>
      <c r="D259" t="s">
        <v>30</v>
      </c>
      <c r="E259" t="s">
        <v>68</v>
      </c>
      <c r="F259" t="s">
        <v>20</v>
      </c>
      <c r="G259" t="s">
        <v>34</v>
      </c>
      <c r="H259">
        <v>16</v>
      </c>
      <c r="I259">
        <v>612.27</v>
      </c>
      <c r="J259">
        <v>260.82</v>
      </c>
      <c r="K259">
        <f t="shared" si="24"/>
        <v>9796.32</v>
      </c>
      <c r="L259">
        <v>0.05</v>
      </c>
      <c r="M259">
        <f t="shared" si="25"/>
        <v>489.81600000000003</v>
      </c>
      <c r="N259">
        <f t="shared" si="26"/>
        <v>9306.503999999999</v>
      </c>
      <c r="O259">
        <f t="shared" si="27"/>
        <v>4173.12</v>
      </c>
      <c r="P259">
        <f t="shared" si="28"/>
        <v>5133.3839999999991</v>
      </c>
      <c r="Q259">
        <f t="shared" si="29"/>
        <v>55.159101634727712</v>
      </c>
      <c r="R259" t="s">
        <v>49</v>
      </c>
      <c r="S259" t="s">
        <v>41</v>
      </c>
      <c r="T259">
        <v>4.5</v>
      </c>
    </row>
    <row r="260" spans="1:20">
      <c r="A260" t="s">
        <v>328</v>
      </c>
      <c r="B260" s="3">
        <v>45477</v>
      </c>
      <c r="C260" t="s">
        <v>19</v>
      </c>
      <c r="D260" t="s">
        <v>26</v>
      </c>
      <c r="E260" t="s">
        <v>68</v>
      </c>
      <c r="F260" t="s">
        <v>20</v>
      </c>
      <c r="G260" t="s">
        <v>31</v>
      </c>
      <c r="H260">
        <v>19</v>
      </c>
      <c r="I260">
        <v>367.74</v>
      </c>
      <c r="J260">
        <v>168.24</v>
      </c>
      <c r="K260">
        <f t="shared" si="24"/>
        <v>6987.06</v>
      </c>
      <c r="L260">
        <v>0</v>
      </c>
      <c r="M260">
        <f t="shared" si="25"/>
        <v>0</v>
      </c>
      <c r="N260">
        <f t="shared" si="26"/>
        <v>6987.06</v>
      </c>
      <c r="O260">
        <f t="shared" si="27"/>
        <v>3196.5600000000004</v>
      </c>
      <c r="P260">
        <f t="shared" si="28"/>
        <v>3790.5</v>
      </c>
      <c r="Q260">
        <f t="shared" si="29"/>
        <v>54.250285527818562</v>
      </c>
      <c r="R260" t="s">
        <v>49</v>
      </c>
      <c r="S260" t="s">
        <v>41</v>
      </c>
      <c r="T260">
        <v>4.5</v>
      </c>
    </row>
    <row r="261" spans="1:20">
      <c r="A261" t="s">
        <v>329</v>
      </c>
      <c r="B261" s="3">
        <v>45477</v>
      </c>
      <c r="C261" t="s">
        <v>19</v>
      </c>
      <c r="D261" t="s">
        <v>30</v>
      </c>
      <c r="E261" t="s">
        <v>68</v>
      </c>
      <c r="F261" t="s">
        <v>20</v>
      </c>
      <c r="G261" t="s">
        <v>36</v>
      </c>
      <c r="H261">
        <v>41</v>
      </c>
      <c r="I261">
        <v>235.25</v>
      </c>
      <c r="J261">
        <v>135.43</v>
      </c>
      <c r="K261">
        <f t="shared" si="24"/>
        <v>9645.25</v>
      </c>
      <c r="L261">
        <v>0.05</v>
      </c>
      <c r="M261">
        <f t="shared" si="25"/>
        <v>482.26250000000005</v>
      </c>
      <c r="N261">
        <f t="shared" si="26"/>
        <v>9162.9874999999993</v>
      </c>
      <c r="O261">
        <f t="shared" si="27"/>
        <v>5552.63</v>
      </c>
      <c r="P261">
        <f t="shared" si="28"/>
        <v>3610.3574999999992</v>
      </c>
      <c r="Q261">
        <f t="shared" si="29"/>
        <v>39.401532524190387</v>
      </c>
      <c r="R261" t="s">
        <v>49</v>
      </c>
      <c r="S261" t="s">
        <v>47</v>
      </c>
      <c r="T261">
        <v>3.9</v>
      </c>
    </row>
    <row r="262" spans="1:20">
      <c r="A262" t="s">
        <v>330</v>
      </c>
      <c r="B262" s="3">
        <v>45479</v>
      </c>
      <c r="C262" t="s">
        <v>19</v>
      </c>
      <c r="D262" t="s">
        <v>30</v>
      </c>
      <c r="E262" t="s">
        <v>68</v>
      </c>
      <c r="F262" t="s">
        <v>22</v>
      </c>
      <c r="G262" t="s">
        <v>42</v>
      </c>
      <c r="H262">
        <v>11</v>
      </c>
      <c r="I262">
        <v>599.11</v>
      </c>
      <c r="J262">
        <v>405.6</v>
      </c>
      <c r="K262">
        <f t="shared" si="24"/>
        <v>6590.21</v>
      </c>
      <c r="L262">
        <v>0</v>
      </c>
      <c r="M262">
        <f t="shared" si="25"/>
        <v>0</v>
      </c>
      <c r="N262">
        <f t="shared" si="26"/>
        <v>6590.21</v>
      </c>
      <c r="O262">
        <f t="shared" si="27"/>
        <v>4461.6000000000004</v>
      </c>
      <c r="P262">
        <f t="shared" si="28"/>
        <v>2128.6099999999997</v>
      </c>
      <c r="Q262">
        <f t="shared" si="29"/>
        <v>32.299577706931942</v>
      </c>
      <c r="R262" t="s">
        <v>50</v>
      </c>
      <c r="S262" t="s">
        <v>41</v>
      </c>
      <c r="T262">
        <v>4.3</v>
      </c>
    </row>
    <row r="263" spans="1:20">
      <c r="A263" t="s">
        <v>331</v>
      </c>
      <c r="B263" s="3">
        <v>45480</v>
      </c>
      <c r="C263" t="s">
        <v>19</v>
      </c>
      <c r="D263" t="s">
        <v>28</v>
      </c>
      <c r="E263" t="s">
        <v>86</v>
      </c>
      <c r="F263" t="s">
        <v>23</v>
      </c>
      <c r="G263" t="s">
        <v>37</v>
      </c>
      <c r="H263">
        <v>37</v>
      </c>
      <c r="I263">
        <v>1030.8499999999999</v>
      </c>
      <c r="J263">
        <v>723.13</v>
      </c>
      <c r="K263">
        <f t="shared" si="24"/>
        <v>38141.449999999997</v>
      </c>
      <c r="L263">
        <v>0.15</v>
      </c>
      <c r="M263">
        <f t="shared" si="25"/>
        <v>5721.2174999999997</v>
      </c>
      <c r="N263">
        <f t="shared" si="26"/>
        <v>32420.232499999998</v>
      </c>
      <c r="O263">
        <f t="shared" si="27"/>
        <v>26755.81</v>
      </c>
      <c r="P263">
        <f t="shared" si="28"/>
        <v>5664.4224999999969</v>
      </c>
      <c r="Q263">
        <f t="shared" si="29"/>
        <v>17.471875008916104</v>
      </c>
      <c r="R263" t="s">
        <v>50</v>
      </c>
      <c r="S263" t="s">
        <v>43</v>
      </c>
      <c r="T263">
        <v>4.0999999999999996</v>
      </c>
    </row>
    <row r="264" spans="1:20">
      <c r="A264" t="s">
        <v>332</v>
      </c>
      <c r="B264" s="3">
        <v>45481</v>
      </c>
      <c r="C264" t="s">
        <v>19</v>
      </c>
      <c r="D264" t="s">
        <v>32</v>
      </c>
      <c r="E264" t="s">
        <v>68</v>
      </c>
      <c r="F264" t="s">
        <v>22</v>
      </c>
      <c r="G264" t="s">
        <v>42</v>
      </c>
      <c r="H264">
        <v>19</v>
      </c>
      <c r="I264">
        <v>800.87</v>
      </c>
      <c r="J264">
        <v>618.26</v>
      </c>
      <c r="K264">
        <f t="shared" si="24"/>
        <v>15216.53</v>
      </c>
      <c r="L264">
        <v>0</v>
      </c>
      <c r="M264">
        <f t="shared" si="25"/>
        <v>0</v>
      </c>
      <c r="N264">
        <f t="shared" si="26"/>
        <v>15216.53</v>
      </c>
      <c r="O264">
        <f t="shared" si="27"/>
        <v>11746.94</v>
      </c>
      <c r="P264">
        <f t="shared" si="28"/>
        <v>3469.59</v>
      </c>
      <c r="Q264">
        <f t="shared" si="29"/>
        <v>22.801453419406396</v>
      </c>
      <c r="R264" t="s">
        <v>51</v>
      </c>
      <c r="S264" t="s">
        <v>41</v>
      </c>
      <c r="T264">
        <v>4.0999999999999996</v>
      </c>
    </row>
    <row r="265" spans="1:20">
      <c r="A265" t="s">
        <v>333</v>
      </c>
      <c r="B265" s="3">
        <v>45481</v>
      </c>
      <c r="C265" t="s">
        <v>19</v>
      </c>
      <c r="D265" t="s">
        <v>32</v>
      </c>
      <c r="E265" t="s">
        <v>68</v>
      </c>
      <c r="F265" t="s">
        <v>24</v>
      </c>
      <c r="G265" t="s">
        <v>40</v>
      </c>
      <c r="H265">
        <v>29</v>
      </c>
      <c r="I265">
        <v>627.41999999999996</v>
      </c>
      <c r="J265">
        <v>374.15</v>
      </c>
      <c r="K265">
        <f t="shared" si="24"/>
        <v>18195.18</v>
      </c>
      <c r="L265">
        <v>0.05</v>
      </c>
      <c r="M265">
        <f t="shared" si="25"/>
        <v>909.75900000000001</v>
      </c>
      <c r="N265">
        <f t="shared" si="26"/>
        <v>17285.421000000002</v>
      </c>
      <c r="O265">
        <f t="shared" si="27"/>
        <v>10850.349999999999</v>
      </c>
      <c r="P265">
        <f t="shared" si="28"/>
        <v>6435.0710000000036</v>
      </c>
      <c r="Q265">
        <f t="shared" si="29"/>
        <v>37.228315121743364</v>
      </c>
      <c r="R265" t="s">
        <v>49</v>
      </c>
      <c r="S265" t="s">
        <v>41</v>
      </c>
      <c r="T265">
        <v>5</v>
      </c>
    </row>
    <row r="266" spans="1:20">
      <c r="A266" t="s">
        <v>334</v>
      </c>
      <c r="B266" s="3">
        <v>45481</v>
      </c>
      <c r="C266" t="s">
        <v>19</v>
      </c>
      <c r="D266" t="s">
        <v>26</v>
      </c>
      <c r="E266" t="s">
        <v>70</v>
      </c>
      <c r="F266" t="s">
        <v>22</v>
      </c>
      <c r="G266" t="s">
        <v>42</v>
      </c>
      <c r="H266">
        <v>4</v>
      </c>
      <c r="I266">
        <v>175.67</v>
      </c>
      <c r="J266">
        <v>109.71</v>
      </c>
      <c r="K266">
        <f t="shared" si="24"/>
        <v>702.68</v>
      </c>
      <c r="L266">
        <v>0</v>
      </c>
      <c r="M266">
        <f t="shared" si="25"/>
        <v>0</v>
      </c>
      <c r="N266">
        <f t="shared" si="26"/>
        <v>702.68</v>
      </c>
      <c r="O266">
        <f t="shared" si="27"/>
        <v>438.84</v>
      </c>
      <c r="P266">
        <f t="shared" si="28"/>
        <v>263.83999999999997</v>
      </c>
      <c r="Q266">
        <f t="shared" si="29"/>
        <v>37.547674617179936</v>
      </c>
      <c r="R266" t="s">
        <v>50</v>
      </c>
      <c r="S266" t="s">
        <v>45</v>
      </c>
      <c r="T266">
        <v>4</v>
      </c>
    </row>
    <row r="267" spans="1:20">
      <c r="A267" t="s">
        <v>335</v>
      </c>
      <c r="B267" s="3">
        <v>45482</v>
      </c>
      <c r="C267" t="s">
        <v>19</v>
      </c>
      <c r="D267" t="s">
        <v>30</v>
      </c>
      <c r="E267" t="s">
        <v>68</v>
      </c>
      <c r="F267" t="s">
        <v>23</v>
      </c>
      <c r="G267" t="s">
        <v>44</v>
      </c>
      <c r="H267">
        <v>15</v>
      </c>
      <c r="I267">
        <v>242.64</v>
      </c>
      <c r="J267">
        <v>179.28</v>
      </c>
      <c r="K267">
        <f t="shared" si="24"/>
        <v>3639.6</v>
      </c>
      <c r="L267">
        <v>0</v>
      </c>
      <c r="M267">
        <f t="shared" si="25"/>
        <v>0</v>
      </c>
      <c r="N267">
        <f t="shared" si="26"/>
        <v>3639.6</v>
      </c>
      <c r="O267">
        <f t="shared" si="27"/>
        <v>2689.2</v>
      </c>
      <c r="P267">
        <f t="shared" si="28"/>
        <v>950.40000000000009</v>
      </c>
      <c r="Q267">
        <f t="shared" si="29"/>
        <v>26.112759643916917</v>
      </c>
      <c r="R267" t="s">
        <v>50</v>
      </c>
      <c r="S267" t="s">
        <v>41</v>
      </c>
      <c r="T267">
        <v>4.5999999999999996</v>
      </c>
    </row>
    <row r="268" spans="1:20">
      <c r="A268" t="s">
        <v>336</v>
      </c>
      <c r="B268" s="3">
        <v>45483</v>
      </c>
      <c r="C268" t="s">
        <v>19</v>
      </c>
      <c r="D268" t="s">
        <v>32</v>
      </c>
      <c r="E268" t="s">
        <v>70</v>
      </c>
      <c r="F268" t="s">
        <v>20</v>
      </c>
      <c r="G268" t="s">
        <v>36</v>
      </c>
      <c r="H268">
        <v>40</v>
      </c>
      <c r="I268">
        <v>594.22</v>
      </c>
      <c r="J268">
        <v>252.99</v>
      </c>
      <c r="K268">
        <f t="shared" si="24"/>
        <v>23768.800000000003</v>
      </c>
      <c r="L268">
        <v>0</v>
      </c>
      <c r="M268">
        <f t="shared" si="25"/>
        <v>0</v>
      </c>
      <c r="N268">
        <f t="shared" si="26"/>
        <v>23768.800000000003</v>
      </c>
      <c r="O268">
        <f t="shared" si="27"/>
        <v>10119.6</v>
      </c>
      <c r="P268">
        <f t="shared" si="28"/>
        <v>13649.200000000003</v>
      </c>
      <c r="Q268">
        <f t="shared" si="29"/>
        <v>57.424859479654003</v>
      </c>
      <c r="R268" t="s">
        <v>50</v>
      </c>
      <c r="S268" t="s">
        <v>43</v>
      </c>
      <c r="T268">
        <v>4.4000000000000004</v>
      </c>
    </row>
    <row r="269" spans="1:20">
      <c r="A269" t="s">
        <v>337</v>
      </c>
      <c r="B269" s="3">
        <v>45484</v>
      </c>
      <c r="C269" t="s">
        <v>19</v>
      </c>
      <c r="D269" t="s">
        <v>32</v>
      </c>
      <c r="E269" t="s">
        <v>68</v>
      </c>
      <c r="F269" t="s">
        <v>20</v>
      </c>
      <c r="G269" t="s">
        <v>31</v>
      </c>
      <c r="H269">
        <v>34</v>
      </c>
      <c r="I269">
        <v>1165.5</v>
      </c>
      <c r="J269">
        <v>494.61</v>
      </c>
      <c r="K269">
        <f t="shared" si="24"/>
        <v>39627</v>
      </c>
      <c r="L269">
        <v>0.05</v>
      </c>
      <c r="M269">
        <f t="shared" si="25"/>
        <v>1981.3500000000001</v>
      </c>
      <c r="N269">
        <f t="shared" si="26"/>
        <v>37645.65</v>
      </c>
      <c r="O269">
        <f t="shared" si="27"/>
        <v>16816.740000000002</v>
      </c>
      <c r="P269">
        <f t="shared" si="28"/>
        <v>20828.91</v>
      </c>
      <c r="Q269">
        <f t="shared" si="29"/>
        <v>55.328862697283739</v>
      </c>
      <c r="R269" t="s">
        <v>50</v>
      </c>
      <c r="S269" t="s">
        <v>43</v>
      </c>
      <c r="T269">
        <v>4.0999999999999996</v>
      </c>
    </row>
    <row r="270" spans="1:20">
      <c r="A270" t="s">
        <v>338</v>
      </c>
      <c r="B270" s="3">
        <v>45484</v>
      </c>
      <c r="C270" t="s">
        <v>19</v>
      </c>
      <c r="D270" t="s">
        <v>28</v>
      </c>
      <c r="E270" t="s">
        <v>70</v>
      </c>
      <c r="F270" t="s">
        <v>23</v>
      </c>
      <c r="G270" t="s">
        <v>44</v>
      </c>
      <c r="H270">
        <v>17</v>
      </c>
      <c r="I270">
        <v>1325.16</v>
      </c>
      <c r="J270">
        <v>1054.93</v>
      </c>
      <c r="K270">
        <f t="shared" si="24"/>
        <v>22527.72</v>
      </c>
      <c r="L270">
        <v>0.1</v>
      </c>
      <c r="M270">
        <f t="shared" si="25"/>
        <v>2252.7720000000004</v>
      </c>
      <c r="N270">
        <f t="shared" si="26"/>
        <v>20274.948</v>
      </c>
      <c r="O270">
        <f t="shared" si="27"/>
        <v>17933.810000000001</v>
      </c>
      <c r="P270">
        <f t="shared" si="28"/>
        <v>2341.137999999999</v>
      </c>
      <c r="Q270">
        <f t="shared" si="29"/>
        <v>11.54694946689875</v>
      </c>
      <c r="R270" t="s">
        <v>49</v>
      </c>
      <c r="S270" t="s">
        <v>43</v>
      </c>
      <c r="T270">
        <v>4.8</v>
      </c>
    </row>
    <row r="271" spans="1:20">
      <c r="A271" t="s">
        <v>339</v>
      </c>
      <c r="B271" s="3">
        <v>45484</v>
      </c>
      <c r="C271" t="s">
        <v>19</v>
      </c>
      <c r="D271" t="s">
        <v>28</v>
      </c>
      <c r="E271" t="s">
        <v>86</v>
      </c>
      <c r="F271" t="s">
        <v>24</v>
      </c>
      <c r="G271" t="s">
        <v>40</v>
      </c>
      <c r="H271">
        <v>11</v>
      </c>
      <c r="I271">
        <v>1455.29</v>
      </c>
      <c r="J271">
        <v>933.25</v>
      </c>
      <c r="K271">
        <f t="shared" si="24"/>
        <v>16008.189999999999</v>
      </c>
      <c r="L271">
        <v>0</v>
      </c>
      <c r="M271">
        <f t="shared" si="25"/>
        <v>0</v>
      </c>
      <c r="N271">
        <f t="shared" si="26"/>
        <v>16008.189999999999</v>
      </c>
      <c r="O271">
        <f t="shared" si="27"/>
        <v>10265.75</v>
      </c>
      <c r="P271">
        <f t="shared" si="28"/>
        <v>5742.4399999999987</v>
      </c>
      <c r="Q271">
        <f t="shared" si="29"/>
        <v>35.871888077290428</v>
      </c>
      <c r="R271" t="s">
        <v>50</v>
      </c>
      <c r="S271" t="s">
        <v>43</v>
      </c>
      <c r="T271">
        <v>3.4</v>
      </c>
    </row>
    <row r="272" spans="1:20">
      <c r="A272" t="s">
        <v>340</v>
      </c>
      <c r="B272" s="3">
        <v>45484</v>
      </c>
      <c r="C272" t="s">
        <v>19</v>
      </c>
      <c r="D272" t="s">
        <v>30</v>
      </c>
      <c r="E272" t="s">
        <v>70</v>
      </c>
      <c r="F272" t="s">
        <v>20</v>
      </c>
      <c r="G272" t="s">
        <v>36</v>
      </c>
      <c r="H272">
        <v>7</v>
      </c>
      <c r="I272">
        <v>1341.78</v>
      </c>
      <c r="J272">
        <v>533.57000000000005</v>
      </c>
      <c r="K272">
        <f t="shared" si="24"/>
        <v>9392.4599999999991</v>
      </c>
      <c r="L272">
        <v>0.1</v>
      </c>
      <c r="M272">
        <f t="shared" si="25"/>
        <v>939.24599999999998</v>
      </c>
      <c r="N272">
        <f t="shared" si="26"/>
        <v>8453.2139999999999</v>
      </c>
      <c r="O272">
        <f t="shared" si="27"/>
        <v>3734.9900000000002</v>
      </c>
      <c r="P272">
        <f t="shared" si="28"/>
        <v>4718.2240000000002</v>
      </c>
      <c r="Q272">
        <f t="shared" si="29"/>
        <v>55.815740616527634</v>
      </c>
      <c r="R272" t="s">
        <v>49</v>
      </c>
      <c r="S272" t="s">
        <v>41</v>
      </c>
      <c r="T272">
        <v>3.4</v>
      </c>
    </row>
    <row r="273" spans="1:20">
      <c r="A273" t="s">
        <v>341</v>
      </c>
      <c r="B273" s="3">
        <v>45485</v>
      </c>
      <c r="C273" t="s">
        <v>19</v>
      </c>
      <c r="D273" t="s">
        <v>32</v>
      </c>
      <c r="E273" t="s">
        <v>86</v>
      </c>
      <c r="F273" t="s">
        <v>20</v>
      </c>
      <c r="G273" t="s">
        <v>34</v>
      </c>
      <c r="H273">
        <v>3</v>
      </c>
      <c r="I273">
        <v>1483.35</v>
      </c>
      <c r="J273">
        <v>589.59</v>
      </c>
      <c r="K273">
        <f t="shared" si="24"/>
        <v>4450.0499999999993</v>
      </c>
      <c r="L273">
        <v>0.2</v>
      </c>
      <c r="M273">
        <f t="shared" si="25"/>
        <v>890.00999999999988</v>
      </c>
      <c r="N273">
        <f t="shared" si="26"/>
        <v>3560.0399999999995</v>
      </c>
      <c r="O273">
        <f t="shared" si="27"/>
        <v>1768.77</v>
      </c>
      <c r="P273">
        <f t="shared" si="28"/>
        <v>1791.2699999999995</v>
      </c>
      <c r="Q273">
        <f t="shared" si="29"/>
        <v>50.316007685306893</v>
      </c>
      <c r="R273" t="s">
        <v>49</v>
      </c>
      <c r="S273" t="s">
        <v>41</v>
      </c>
      <c r="T273">
        <v>3.8</v>
      </c>
    </row>
    <row r="274" spans="1:20">
      <c r="A274" t="s">
        <v>342</v>
      </c>
      <c r="B274" s="3">
        <v>45486</v>
      </c>
      <c r="C274" t="s">
        <v>19</v>
      </c>
      <c r="D274" t="s">
        <v>30</v>
      </c>
      <c r="E274" t="s">
        <v>68</v>
      </c>
      <c r="F274" t="s">
        <v>23</v>
      </c>
      <c r="G274" t="s">
        <v>38</v>
      </c>
      <c r="H274">
        <v>48</v>
      </c>
      <c r="I274">
        <v>595.32000000000005</v>
      </c>
      <c r="J274">
        <v>428.59</v>
      </c>
      <c r="K274">
        <f t="shared" si="24"/>
        <v>28575.360000000001</v>
      </c>
      <c r="L274">
        <v>0.15</v>
      </c>
      <c r="M274">
        <f t="shared" si="25"/>
        <v>4286.3040000000001</v>
      </c>
      <c r="N274">
        <f t="shared" si="26"/>
        <v>24289.056</v>
      </c>
      <c r="O274">
        <f t="shared" si="27"/>
        <v>20572.32</v>
      </c>
      <c r="P274">
        <f t="shared" si="28"/>
        <v>3716.7360000000008</v>
      </c>
      <c r="Q274">
        <f t="shared" si="29"/>
        <v>15.302101489658556</v>
      </c>
      <c r="R274" t="s">
        <v>49</v>
      </c>
      <c r="S274" t="s">
        <v>45</v>
      </c>
      <c r="T274">
        <v>3.5</v>
      </c>
    </row>
    <row r="275" spans="1:20">
      <c r="A275" t="s">
        <v>343</v>
      </c>
      <c r="B275" s="3">
        <v>45486</v>
      </c>
      <c r="C275" t="s">
        <v>19</v>
      </c>
      <c r="D275" t="s">
        <v>32</v>
      </c>
      <c r="E275" t="s">
        <v>68</v>
      </c>
      <c r="F275" t="s">
        <v>23</v>
      </c>
      <c r="G275" t="s">
        <v>44</v>
      </c>
      <c r="H275">
        <v>28</v>
      </c>
      <c r="I275">
        <v>775.7</v>
      </c>
      <c r="J275">
        <v>553.08000000000004</v>
      </c>
      <c r="K275">
        <f t="shared" si="24"/>
        <v>21719.600000000002</v>
      </c>
      <c r="L275">
        <v>0</v>
      </c>
      <c r="M275">
        <f t="shared" si="25"/>
        <v>0</v>
      </c>
      <c r="N275">
        <f t="shared" si="26"/>
        <v>21719.600000000002</v>
      </c>
      <c r="O275">
        <f t="shared" si="27"/>
        <v>15486.240000000002</v>
      </c>
      <c r="P275">
        <f t="shared" si="28"/>
        <v>6233.3600000000006</v>
      </c>
      <c r="Q275">
        <f t="shared" si="29"/>
        <v>28.699239396673971</v>
      </c>
      <c r="R275" t="s">
        <v>50</v>
      </c>
      <c r="S275" t="s">
        <v>43</v>
      </c>
      <c r="T275">
        <v>3.8</v>
      </c>
    </row>
    <row r="276" spans="1:20">
      <c r="A276" t="s">
        <v>344</v>
      </c>
      <c r="B276" s="3">
        <v>45488</v>
      </c>
      <c r="C276" t="s">
        <v>19</v>
      </c>
      <c r="D276" t="s">
        <v>32</v>
      </c>
      <c r="E276" t="s">
        <v>70</v>
      </c>
      <c r="F276" t="s">
        <v>24</v>
      </c>
      <c r="G276" t="s">
        <v>29</v>
      </c>
      <c r="H276">
        <v>14</v>
      </c>
      <c r="I276">
        <v>744</v>
      </c>
      <c r="J276">
        <v>444.71</v>
      </c>
      <c r="K276">
        <f t="shared" si="24"/>
        <v>10416</v>
      </c>
      <c r="L276">
        <v>0.05</v>
      </c>
      <c r="M276">
        <f t="shared" si="25"/>
        <v>520.80000000000007</v>
      </c>
      <c r="N276">
        <f t="shared" si="26"/>
        <v>9895.2000000000007</v>
      </c>
      <c r="O276">
        <f t="shared" si="27"/>
        <v>6225.94</v>
      </c>
      <c r="P276">
        <f t="shared" si="28"/>
        <v>3669.2600000000011</v>
      </c>
      <c r="Q276">
        <f t="shared" si="29"/>
        <v>37.081211092246754</v>
      </c>
      <c r="R276" t="s">
        <v>51</v>
      </c>
      <c r="S276" t="s">
        <v>45</v>
      </c>
      <c r="T276">
        <v>3.5</v>
      </c>
    </row>
    <row r="277" spans="1:20">
      <c r="A277" t="s">
        <v>345</v>
      </c>
      <c r="B277" s="3">
        <v>45489</v>
      </c>
      <c r="C277" t="s">
        <v>19</v>
      </c>
      <c r="D277" t="s">
        <v>26</v>
      </c>
      <c r="E277" t="s">
        <v>68</v>
      </c>
      <c r="F277" t="s">
        <v>24</v>
      </c>
      <c r="G277" t="s">
        <v>29</v>
      </c>
      <c r="H277">
        <v>8</v>
      </c>
      <c r="I277">
        <v>275.79000000000002</v>
      </c>
      <c r="J277">
        <v>165.39</v>
      </c>
      <c r="K277">
        <f t="shared" si="24"/>
        <v>2206.3200000000002</v>
      </c>
      <c r="L277">
        <v>0</v>
      </c>
      <c r="M277">
        <f t="shared" si="25"/>
        <v>0</v>
      </c>
      <c r="N277">
        <f t="shared" si="26"/>
        <v>2206.3200000000002</v>
      </c>
      <c r="O277">
        <f t="shared" si="27"/>
        <v>1323.12</v>
      </c>
      <c r="P277">
        <f t="shared" si="28"/>
        <v>883.20000000000027</v>
      </c>
      <c r="Q277">
        <f t="shared" si="29"/>
        <v>40.030457957141316</v>
      </c>
      <c r="R277" t="s">
        <v>50</v>
      </c>
      <c r="S277" t="s">
        <v>45</v>
      </c>
      <c r="T277">
        <v>4.0999999999999996</v>
      </c>
    </row>
    <row r="278" spans="1:20">
      <c r="A278" t="s">
        <v>346</v>
      </c>
      <c r="B278" s="3">
        <v>45489</v>
      </c>
      <c r="C278" t="s">
        <v>19</v>
      </c>
      <c r="D278" t="s">
        <v>28</v>
      </c>
      <c r="E278" t="s">
        <v>68</v>
      </c>
      <c r="F278" t="s">
        <v>22</v>
      </c>
      <c r="G278" t="s">
        <v>42</v>
      </c>
      <c r="H278">
        <v>7</v>
      </c>
      <c r="I278">
        <v>1109.21</v>
      </c>
      <c r="J278">
        <v>710.27</v>
      </c>
      <c r="K278">
        <f t="shared" si="24"/>
        <v>7764.47</v>
      </c>
      <c r="L278">
        <v>0</v>
      </c>
      <c r="M278">
        <f t="shared" si="25"/>
        <v>0</v>
      </c>
      <c r="N278">
        <f t="shared" si="26"/>
        <v>7764.47</v>
      </c>
      <c r="O278">
        <f t="shared" si="27"/>
        <v>4971.8899999999994</v>
      </c>
      <c r="P278">
        <f t="shared" si="28"/>
        <v>2792.5800000000008</v>
      </c>
      <c r="Q278">
        <f t="shared" si="29"/>
        <v>35.966138062224474</v>
      </c>
      <c r="R278" t="s">
        <v>50</v>
      </c>
      <c r="S278" t="s">
        <v>45</v>
      </c>
      <c r="T278">
        <v>4.0999999999999996</v>
      </c>
    </row>
    <row r="279" spans="1:20">
      <c r="A279" t="s">
        <v>347</v>
      </c>
      <c r="B279" s="3">
        <v>45489</v>
      </c>
      <c r="C279" t="s">
        <v>19</v>
      </c>
      <c r="D279" t="s">
        <v>30</v>
      </c>
      <c r="E279" t="s">
        <v>68</v>
      </c>
      <c r="F279" t="s">
        <v>23</v>
      </c>
      <c r="G279" t="s">
        <v>44</v>
      </c>
      <c r="H279">
        <v>40</v>
      </c>
      <c r="I279">
        <v>1282.8900000000001</v>
      </c>
      <c r="J279">
        <v>965.38</v>
      </c>
      <c r="K279">
        <f t="shared" si="24"/>
        <v>51315.600000000006</v>
      </c>
      <c r="L279">
        <v>0.25</v>
      </c>
      <c r="M279">
        <f t="shared" si="25"/>
        <v>12828.900000000001</v>
      </c>
      <c r="N279">
        <f t="shared" si="26"/>
        <v>38486.700000000004</v>
      </c>
      <c r="O279">
        <f t="shared" si="27"/>
        <v>38615.199999999997</v>
      </c>
      <c r="P279">
        <f t="shared" si="28"/>
        <v>-128.49999999999272</v>
      </c>
      <c r="Q279">
        <f t="shared" si="29"/>
        <v>-0.3338815746738294</v>
      </c>
      <c r="R279" t="s">
        <v>50</v>
      </c>
      <c r="S279" t="s">
        <v>43</v>
      </c>
      <c r="T279">
        <v>4.2</v>
      </c>
    </row>
    <row r="280" spans="1:20">
      <c r="A280" t="s">
        <v>348</v>
      </c>
      <c r="B280" s="3">
        <v>45490</v>
      </c>
      <c r="C280" t="s">
        <v>19</v>
      </c>
      <c r="D280" t="s">
        <v>32</v>
      </c>
      <c r="E280" t="s">
        <v>68</v>
      </c>
      <c r="F280" t="s">
        <v>22</v>
      </c>
      <c r="G280" t="s">
        <v>42</v>
      </c>
      <c r="H280">
        <v>10</v>
      </c>
      <c r="I280">
        <v>180.56</v>
      </c>
      <c r="J280">
        <v>119.1</v>
      </c>
      <c r="K280">
        <f t="shared" si="24"/>
        <v>1805.6</v>
      </c>
      <c r="L280">
        <v>0</v>
      </c>
      <c r="M280">
        <f t="shared" si="25"/>
        <v>0</v>
      </c>
      <c r="N280">
        <f t="shared" si="26"/>
        <v>1805.6</v>
      </c>
      <c r="O280">
        <f t="shared" si="27"/>
        <v>1191</v>
      </c>
      <c r="P280">
        <f t="shared" si="28"/>
        <v>614.59999999999991</v>
      </c>
      <c r="Q280">
        <f t="shared" si="29"/>
        <v>34.038546743464771</v>
      </c>
      <c r="R280" t="s">
        <v>50</v>
      </c>
      <c r="S280" t="s">
        <v>41</v>
      </c>
      <c r="T280">
        <v>3.3</v>
      </c>
    </row>
    <row r="281" spans="1:20">
      <c r="A281" t="s">
        <v>349</v>
      </c>
      <c r="B281" s="3">
        <v>45490</v>
      </c>
      <c r="C281" t="s">
        <v>19</v>
      </c>
      <c r="D281" t="s">
        <v>32</v>
      </c>
      <c r="E281" t="s">
        <v>68</v>
      </c>
      <c r="F281" t="s">
        <v>22</v>
      </c>
      <c r="G281" t="s">
        <v>33</v>
      </c>
      <c r="H281">
        <v>35</v>
      </c>
      <c r="I281">
        <v>1004.06</v>
      </c>
      <c r="J281">
        <v>643.44000000000005</v>
      </c>
      <c r="K281">
        <f t="shared" si="24"/>
        <v>35142.1</v>
      </c>
      <c r="L281">
        <v>0.05</v>
      </c>
      <c r="M281">
        <f t="shared" si="25"/>
        <v>1757.105</v>
      </c>
      <c r="N281">
        <f t="shared" si="26"/>
        <v>33384.994999999995</v>
      </c>
      <c r="O281">
        <f t="shared" si="27"/>
        <v>22520.400000000001</v>
      </c>
      <c r="P281">
        <f t="shared" si="28"/>
        <v>10864.594999999994</v>
      </c>
      <c r="Q281">
        <f t="shared" si="29"/>
        <v>32.543347692578642</v>
      </c>
      <c r="R281" t="s">
        <v>49</v>
      </c>
      <c r="S281" t="s">
        <v>45</v>
      </c>
      <c r="T281">
        <v>3.5</v>
      </c>
    </row>
    <row r="282" spans="1:20">
      <c r="A282" t="s">
        <v>350</v>
      </c>
      <c r="B282" s="3">
        <v>45491</v>
      </c>
      <c r="C282" t="s">
        <v>19</v>
      </c>
      <c r="D282" t="s">
        <v>30</v>
      </c>
      <c r="E282" t="s">
        <v>68</v>
      </c>
      <c r="F282" t="s">
        <v>20</v>
      </c>
      <c r="G282" t="s">
        <v>34</v>
      </c>
      <c r="H282">
        <v>3</v>
      </c>
      <c r="I282">
        <v>337.56</v>
      </c>
      <c r="J282">
        <v>127.43</v>
      </c>
      <c r="K282">
        <f t="shared" si="24"/>
        <v>1012.6800000000001</v>
      </c>
      <c r="L282">
        <v>0.1</v>
      </c>
      <c r="M282">
        <f t="shared" si="25"/>
        <v>101.26800000000001</v>
      </c>
      <c r="N282">
        <f t="shared" si="26"/>
        <v>911.41200000000003</v>
      </c>
      <c r="O282">
        <f t="shared" si="27"/>
        <v>382.29</v>
      </c>
      <c r="P282">
        <f t="shared" si="28"/>
        <v>529.12200000000007</v>
      </c>
      <c r="Q282">
        <f t="shared" si="29"/>
        <v>58.055193480006849</v>
      </c>
      <c r="R282" t="s">
        <v>49</v>
      </c>
      <c r="S282" t="s">
        <v>43</v>
      </c>
      <c r="T282">
        <v>4.5999999999999996</v>
      </c>
    </row>
    <row r="283" spans="1:20">
      <c r="A283" t="s">
        <v>351</v>
      </c>
      <c r="B283" s="3">
        <v>45492</v>
      </c>
      <c r="C283" t="s">
        <v>19</v>
      </c>
      <c r="D283" t="s">
        <v>26</v>
      </c>
      <c r="E283" t="s">
        <v>70</v>
      </c>
      <c r="F283" t="s">
        <v>22</v>
      </c>
      <c r="G283" t="s">
        <v>42</v>
      </c>
      <c r="H283">
        <v>33</v>
      </c>
      <c r="I283">
        <v>1137.3599999999999</v>
      </c>
      <c r="J283">
        <v>833</v>
      </c>
      <c r="K283">
        <f t="shared" si="24"/>
        <v>37532.879999999997</v>
      </c>
      <c r="L283">
        <v>0.1</v>
      </c>
      <c r="M283">
        <f t="shared" si="25"/>
        <v>3753.288</v>
      </c>
      <c r="N283">
        <f t="shared" si="26"/>
        <v>33779.591999999997</v>
      </c>
      <c r="O283">
        <f t="shared" si="27"/>
        <v>27489</v>
      </c>
      <c r="P283">
        <f t="shared" si="28"/>
        <v>6290.5919999999969</v>
      </c>
      <c r="Q283">
        <f t="shared" si="29"/>
        <v>18.62246293560916</v>
      </c>
      <c r="R283" t="s">
        <v>49</v>
      </c>
      <c r="S283" t="s">
        <v>41</v>
      </c>
      <c r="T283">
        <v>4.5</v>
      </c>
    </row>
    <row r="284" spans="1:20">
      <c r="A284" t="s">
        <v>352</v>
      </c>
      <c r="B284" s="3">
        <v>45493</v>
      </c>
      <c r="C284" t="s">
        <v>19</v>
      </c>
      <c r="D284" t="s">
        <v>26</v>
      </c>
      <c r="E284" t="s">
        <v>68</v>
      </c>
      <c r="F284" t="s">
        <v>23</v>
      </c>
      <c r="G284" t="s">
        <v>37</v>
      </c>
      <c r="H284">
        <v>14</v>
      </c>
      <c r="I284">
        <v>328.86</v>
      </c>
      <c r="J284">
        <v>261</v>
      </c>
      <c r="K284">
        <f t="shared" si="24"/>
        <v>4604.04</v>
      </c>
      <c r="L284">
        <v>0.05</v>
      </c>
      <c r="M284">
        <f t="shared" si="25"/>
        <v>230.202</v>
      </c>
      <c r="N284">
        <f t="shared" si="26"/>
        <v>4373.8379999999997</v>
      </c>
      <c r="O284">
        <f t="shared" si="27"/>
        <v>3654</v>
      </c>
      <c r="P284">
        <f t="shared" si="28"/>
        <v>719.83799999999974</v>
      </c>
      <c r="Q284">
        <f t="shared" si="29"/>
        <v>16.457811194653296</v>
      </c>
      <c r="R284" t="s">
        <v>49</v>
      </c>
      <c r="S284" t="s">
        <v>47</v>
      </c>
      <c r="T284">
        <v>3.9</v>
      </c>
    </row>
    <row r="285" spans="1:20">
      <c r="A285" t="s">
        <v>353</v>
      </c>
      <c r="B285" s="3">
        <v>45493</v>
      </c>
      <c r="C285" t="s">
        <v>19</v>
      </c>
      <c r="D285" t="s">
        <v>30</v>
      </c>
      <c r="E285" t="s">
        <v>68</v>
      </c>
      <c r="F285" t="s">
        <v>24</v>
      </c>
      <c r="G285" t="s">
        <v>40</v>
      </c>
      <c r="H285">
        <v>28</v>
      </c>
      <c r="I285">
        <v>273.60000000000002</v>
      </c>
      <c r="J285">
        <v>186.38</v>
      </c>
      <c r="K285">
        <f t="shared" si="24"/>
        <v>7660.8000000000011</v>
      </c>
      <c r="L285">
        <v>0</v>
      </c>
      <c r="M285">
        <f t="shared" si="25"/>
        <v>0</v>
      </c>
      <c r="N285">
        <f t="shared" si="26"/>
        <v>7660.8000000000011</v>
      </c>
      <c r="O285">
        <f t="shared" si="27"/>
        <v>5218.6399999999994</v>
      </c>
      <c r="P285">
        <f t="shared" si="28"/>
        <v>2442.1600000000017</v>
      </c>
      <c r="Q285">
        <f t="shared" si="29"/>
        <v>31.878654970760252</v>
      </c>
      <c r="R285" t="s">
        <v>49</v>
      </c>
      <c r="S285" t="s">
        <v>47</v>
      </c>
      <c r="T285">
        <v>3</v>
      </c>
    </row>
    <row r="286" spans="1:20">
      <c r="A286" t="s">
        <v>354</v>
      </c>
      <c r="B286" s="3">
        <v>45494</v>
      </c>
      <c r="C286" t="s">
        <v>19</v>
      </c>
      <c r="D286" t="s">
        <v>30</v>
      </c>
      <c r="E286" t="s">
        <v>68</v>
      </c>
      <c r="F286" t="s">
        <v>20</v>
      </c>
      <c r="G286" t="s">
        <v>34</v>
      </c>
      <c r="H286">
        <v>13</v>
      </c>
      <c r="I286">
        <v>1173.95</v>
      </c>
      <c r="J286">
        <v>534.65</v>
      </c>
      <c r="K286">
        <f t="shared" si="24"/>
        <v>15261.35</v>
      </c>
      <c r="L286">
        <v>0</v>
      </c>
      <c r="M286">
        <f t="shared" si="25"/>
        <v>0</v>
      </c>
      <c r="N286">
        <f t="shared" si="26"/>
        <v>15261.35</v>
      </c>
      <c r="O286">
        <f t="shared" si="27"/>
        <v>6950.45</v>
      </c>
      <c r="P286">
        <f t="shared" si="28"/>
        <v>8310.9000000000015</v>
      </c>
      <c r="Q286">
        <f t="shared" si="29"/>
        <v>54.457174496358448</v>
      </c>
      <c r="R286" t="s">
        <v>49</v>
      </c>
      <c r="S286" t="s">
        <v>43</v>
      </c>
      <c r="T286">
        <v>3.1</v>
      </c>
    </row>
    <row r="287" spans="1:20">
      <c r="A287" t="s">
        <v>355</v>
      </c>
      <c r="B287" s="3">
        <v>45494</v>
      </c>
      <c r="C287" t="s">
        <v>19</v>
      </c>
      <c r="D287" t="s">
        <v>28</v>
      </c>
      <c r="E287" t="s">
        <v>68</v>
      </c>
      <c r="F287" t="s">
        <v>22</v>
      </c>
      <c r="G287" t="s">
        <v>35</v>
      </c>
      <c r="H287">
        <v>44</v>
      </c>
      <c r="I287">
        <v>1424.94</v>
      </c>
      <c r="J287">
        <v>1129.71</v>
      </c>
      <c r="K287">
        <f t="shared" si="24"/>
        <v>62697.36</v>
      </c>
      <c r="L287">
        <v>0.05</v>
      </c>
      <c r="M287">
        <f t="shared" si="25"/>
        <v>3134.8680000000004</v>
      </c>
      <c r="N287">
        <f t="shared" si="26"/>
        <v>59562.491999999998</v>
      </c>
      <c r="O287">
        <f t="shared" si="27"/>
        <v>49707.240000000005</v>
      </c>
      <c r="P287">
        <f t="shared" si="28"/>
        <v>9855.2519999999931</v>
      </c>
      <c r="Q287">
        <f t="shared" si="29"/>
        <v>16.546070637877264</v>
      </c>
      <c r="R287" t="s">
        <v>49</v>
      </c>
      <c r="S287" t="s">
        <v>41</v>
      </c>
      <c r="T287">
        <v>3.4</v>
      </c>
    </row>
    <row r="288" spans="1:20">
      <c r="A288" t="s">
        <v>356</v>
      </c>
      <c r="B288" s="3">
        <v>45495</v>
      </c>
      <c r="C288" t="s">
        <v>19</v>
      </c>
      <c r="D288" t="s">
        <v>28</v>
      </c>
      <c r="E288" t="s">
        <v>86</v>
      </c>
      <c r="F288" t="s">
        <v>22</v>
      </c>
      <c r="G288" t="s">
        <v>35</v>
      </c>
      <c r="H288">
        <v>22</v>
      </c>
      <c r="I288">
        <v>1466.31</v>
      </c>
      <c r="J288">
        <v>1036.51</v>
      </c>
      <c r="K288">
        <f t="shared" si="24"/>
        <v>32258.82</v>
      </c>
      <c r="L288">
        <v>0</v>
      </c>
      <c r="M288">
        <f t="shared" si="25"/>
        <v>0</v>
      </c>
      <c r="N288">
        <f t="shared" si="26"/>
        <v>32258.82</v>
      </c>
      <c r="O288">
        <f t="shared" si="27"/>
        <v>22803.22</v>
      </c>
      <c r="P288">
        <f t="shared" si="28"/>
        <v>9455.5999999999985</v>
      </c>
      <c r="Q288">
        <f t="shared" si="29"/>
        <v>29.311673520606142</v>
      </c>
      <c r="R288" t="s">
        <v>51</v>
      </c>
      <c r="S288" t="s">
        <v>41</v>
      </c>
      <c r="T288">
        <v>4.7</v>
      </c>
    </row>
    <row r="289" spans="1:20">
      <c r="A289" t="s">
        <v>357</v>
      </c>
      <c r="B289" s="3">
        <v>45495</v>
      </c>
      <c r="C289" t="s">
        <v>19</v>
      </c>
      <c r="D289" t="s">
        <v>30</v>
      </c>
      <c r="E289" t="s">
        <v>68</v>
      </c>
      <c r="F289" t="s">
        <v>24</v>
      </c>
      <c r="G289" t="s">
        <v>46</v>
      </c>
      <c r="H289">
        <v>6</v>
      </c>
      <c r="I289">
        <v>97.65</v>
      </c>
      <c r="J289">
        <v>57.76</v>
      </c>
      <c r="K289">
        <f t="shared" si="24"/>
        <v>585.90000000000009</v>
      </c>
      <c r="L289">
        <v>0</v>
      </c>
      <c r="M289">
        <f t="shared" si="25"/>
        <v>0</v>
      </c>
      <c r="N289">
        <f t="shared" si="26"/>
        <v>585.90000000000009</v>
      </c>
      <c r="O289">
        <f t="shared" si="27"/>
        <v>346.56</v>
      </c>
      <c r="P289">
        <f t="shared" si="28"/>
        <v>239.34000000000009</v>
      </c>
      <c r="Q289">
        <f t="shared" si="29"/>
        <v>40.849974398361503</v>
      </c>
      <c r="R289" t="s">
        <v>49</v>
      </c>
      <c r="S289" t="s">
        <v>45</v>
      </c>
      <c r="T289">
        <v>4.5</v>
      </c>
    </row>
    <row r="290" spans="1:20">
      <c r="A290" t="s">
        <v>358</v>
      </c>
      <c r="B290" s="3">
        <v>45496</v>
      </c>
      <c r="C290" t="s">
        <v>19</v>
      </c>
      <c r="D290" t="s">
        <v>30</v>
      </c>
      <c r="E290" t="s">
        <v>68</v>
      </c>
      <c r="F290" t="s">
        <v>24</v>
      </c>
      <c r="G290" t="s">
        <v>29</v>
      </c>
      <c r="H290">
        <v>48</v>
      </c>
      <c r="I290">
        <v>1305.58</v>
      </c>
      <c r="J290">
        <v>839.09</v>
      </c>
      <c r="K290">
        <f t="shared" si="24"/>
        <v>62667.839999999997</v>
      </c>
      <c r="L290">
        <v>0</v>
      </c>
      <c r="M290">
        <f t="shared" si="25"/>
        <v>0</v>
      </c>
      <c r="N290">
        <f t="shared" si="26"/>
        <v>62667.839999999997</v>
      </c>
      <c r="O290">
        <f t="shared" si="27"/>
        <v>40276.32</v>
      </c>
      <c r="P290">
        <f t="shared" si="28"/>
        <v>22391.519999999997</v>
      </c>
      <c r="Q290">
        <f t="shared" si="29"/>
        <v>35.730479939950058</v>
      </c>
      <c r="R290" t="s">
        <v>49</v>
      </c>
      <c r="S290" t="s">
        <v>47</v>
      </c>
      <c r="T290">
        <v>4.7</v>
      </c>
    </row>
    <row r="291" spans="1:20">
      <c r="A291" t="s">
        <v>359</v>
      </c>
      <c r="B291" s="3">
        <v>45497</v>
      </c>
      <c r="C291" t="s">
        <v>19</v>
      </c>
      <c r="D291" t="s">
        <v>30</v>
      </c>
      <c r="E291" t="s">
        <v>70</v>
      </c>
      <c r="F291" t="s">
        <v>20</v>
      </c>
      <c r="G291" t="s">
        <v>34</v>
      </c>
      <c r="H291">
        <v>36</v>
      </c>
      <c r="I291">
        <v>25.73</v>
      </c>
      <c r="J291">
        <v>11.64</v>
      </c>
      <c r="K291">
        <f t="shared" si="24"/>
        <v>926.28</v>
      </c>
      <c r="L291">
        <v>0</v>
      </c>
      <c r="M291">
        <f t="shared" si="25"/>
        <v>0</v>
      </c>
      <c r="N291">
        <f t="shared" si="26"/>
        <v>926.28</v>
      </c>
      <c r="O291">
        <f t="shared" si="27"/>
        <v>419.04</v>
      </c>
      <c r="P291">
        <f t="shared" si="28"/>
        <v>507.23999999999995</v>
      </c>
      <c r="Q291">
        <f t="shared" si="29"/>
        <v>54.760979401476874</v>
      </c>
      <c r="R291" t="s">
        <v>49</v>
      </c>
      <c r="S291" t="s">
        <v>41</v>
      </c>
      <c r="T291">
        <v>3.1</v>
      </c>
    </row>
    <row r="292" spans="1:20">
      <c r="A292" t="s">
        <v>360</v>
      </c>
      <c r="B292" s="3">
        <v>45497</v>
      </c>
      <c r="C292" t="s">
        <v>19</v>
      </c>
      <c r="D292" t="s">
        <v>26</v>
      </c>
      <c r="E292" t="s">
        <v>68</v>
      </c>
      <c r="F292" t="s">
        <v>20</v>
      </c>
      <c r="G292" t="s">
        <v>36</v>
      </c>
      <c r="H292">
        <v>31</v>
      </c>
      <c r="I292">
        <v>290.89999999999998</v>
      </c>
      <c r="J292">
        <v>172.32</v>
      </c>
      <c r="K292">
        <f t="shared" si="24"/>
        <v>9017.9</v>
      </c>
      <c r="L292">
        <v>0</v>
      </c>
      <c r="M292">
        <f t="shared" si="25"/>
        <v>0</v>
      </c>
      <c r="N292">
        <f t="shared" si="26"/>
        <v>9017.9</v>
      </c>
      <c r="O292">
        <f t="shared" si="27"/>
        <v>5341.92</v>
      </c>
      <c r="P292">
        <f t="shared" si="28"/>
        <v>3675.9799999999996</v>
      </c>
      <c r="Q292">
        <f t="shared" si="29"/>
        <v>40.763148848401507</v>
      </c>
      <c r="R292" t="s">
        <v>50</v>
      </c>
      <c r="S292" t="s">
        <v>41</v>
      </c>
      <c r="T292">
        <v>4.3</v>
      </c>
    </row>
    <row r="293" spans="1:20">
      <c r="A293" t="s">
        <v>361</v>
      </c>
      <c r="B293" s="3">
        <v>45498</v>
      </c>
      <c r="C293" t="s">
        <v>19</v>
      </c>
      <c r="D293" t="s">
        <v>26</v>
      </c>
      <c r="E293" t="s">
        <v>68</v>
      </c>
      <c r="F293" t="s">
        <v>23</v>
      </c>
      <c r="G293" t="s">
        <v>37</v>
      </c>
      <c r="H293">
        <v>48</v>
      </c>
      <c r="I293">
        <v>93.16</v>
      </c>
      <c r="J293">
        <v>78.66</v>
      </c>
      <c r="K293">
        <f t="shared" si="24"/>
        <v>4471.68</v>
      </c>
      <c r="L293">
        <v>0</v>
      </c>
      <c r="M293">
        <f t="shared" si="25"/>
        <v>0</v>
      </c>
      <c r="N293">
        <f t="shared" si="26"/>
        <v>4471.68</v>
      </c>
      <c r="O293">
        <f t="shared" si="27"/>
        <v>3775.68</v>
      </c>
      <c r="P293">
        <f t="shared" si="28"/>
        <v>696.00000000000045</v>
      </c>
      <c r="Q293">
        <f t="shared" si="29"/>
        <v>15.564620008587385</v>
      </c>
      <c r="R293" t="s">
        <v>49</v>
      </c>
      <c r="S293" t="s">
        <v>47</v>
      </c>
      <c r="T293">
        <v>4.7</v>
      </c>
    </row>
    <row r="294" spans="1:20">
      <c r="A294" t="s">
        <v>362</v>
      </c>
      <c r="B294" s="3">
        <v>45499</v>
      </c>
      <c r="C294" t="s">
        <v>19</v>
      </c>
      <c r="D294" t="s">
        <v>30</v>
      </c>
      <c r="E294" t="s">
        <v>68</v>
      </c>
      <c r="F294" t="s">
        <v>22</v>
      </c>
      <c r="G294" t="s">
        <v>35</v>
      </c>
      <c r="H294">
        <v>8</v>
      </c>
      <c r="I294">
        <v>168.94</v>
      </c>
      <c r="J294">
        <v>107.36</v>
      </c>
      <c r="K294">
        <f t="shared" si="24"/>
        <v>1351.52</v>
      </c>
      <c r="L294">
        <v>0.05</v>
      </c>
      <c r="M294">
        <f t="shared" si="25"/>
        <v>67.576000000000008</v>
      </c>
      <c r="N294">
        <f t="shared" si="26"/>
        <v>1283.944</v>
      </c>
      <c r="O294">
        <f t="shared" si="27"/>
        <v>858.88</v>
      </c>
      <c r="P294">
        <f t="shared" si="28"/>
        <v>425.06399999999996</v>
      </c>
      <c r="Q294">
        <f t="shared" si="29"/>
        <v>33.106116777678771</v>
      </c>
      <c r="R294" t="s">
        <v>49</v>
      </c>
      <c r="S294" t="s">
        <v>41</v>
      </c>
      <c r="T294">
        <v>4.8</v>
      </c>
    </row>
    <row r="295" spans="1:20">
      <c r="A295" t="s">
        <v>363</v>
      </c>
      <c r="B295" s="3">
        <v>45499</v>
      </c>
      <c r="C295" t="s">
        <v>19</v>
      </c>
      <c r="D295" t="s">
        <v>32</v>
      </c>
      <c r="E295" t="s">
        <v>86</v>
      </c>
      <c r="F295" t="s">
        <v>20</v>
      </c>
      <c r="G295" t="s">
        <v>36</v>
      </c>
      <c r="H295">
        <v>40</v>
      </c>
      <c r="I295">
        <v>347.07</v>
      </c>
      <c r="J295">
        <v>176.99</v>
      </c>
      <c r="K295">
        <f t="shared" si="24"/>
        <v>13882.8</v>
      </c>
      <c r="L295">
        <v>0.1</v>
      </c>
      <c r="M295">
        <f t="shared" si="25"/>
        <v>1388.28</v>
      </c>
      <c r="N295">
        <f t="shared" si="26"/>
        <v>12494.519999999999</v>
      </c>
      <c r="O295">
        <f t="shared" si="27"/>
        <v>7079.6</v>
      </c>
      <c r="P295">
        <f t="shared" si="28"/>
        <v>5414.9199999999983</v>
      </c>
      <c r="Q295">
        <f t="shared" si="29"/>
        <v>43.338359536820931</v>
      </c>
      <c r="R295" t="s">
        <v>50</v>
      </c>
      <c r="S295" t="s">
        <v>43</v>
      </c>
      <c r="T295">
        <v>3.2</v>
      </c>
    </row>
    <row r="296" spans="1:20">
      <c r="A296" t="s">
        <v>364</v>
      </c>
      <c r="B296" s="3">
        <v>45499</v>
      </c>
      <c r="C296" t="s">
        <v>19</v>
      </c>
      <c r="D296" t="s">
        <v>32</v>
      </c>
      <c r="E296" t="s">
        <v>68</v>
      </c>
      <c r="F296" t="s">
        <v>24</v>
      </c>
      <c r="G296" t="s">
        <v>29</v>
      </c>
      <c r="H296">
        <v>41</v>
      </c>
      <c r="I296">
        <v>344.56</v>
      </c>
      <c r="J296">
        <v>232.44</v>
      </c>
      <c r="K296">
        <f t="shared" si="24"/>
        <v>14126.960000000001</v>
      </c>
      <c r="L296">
        <v>0.15</v>
      </c>
      <c r="M296">
        <f t="shared" si="25"/>
        <v>2119.0439999999999</v>
      </c>
      <c r="N296">
        <f t="shared" si="26"/>
        <v>12007.916000000001</v>
      </c>
      <c r="O296">
        <f t="shared" si="27"/>
        <v>9530.0399999999991</v>
      </c>
      <c r="P296">
        <f t="shared" si="28"/>
        <v>2477.876000000002</v>
      </c>
      <c r="Q296">
        <f t="shared" si="29"/>
        <v>20.635354211338601</v>
      </c>
      <c r="R296" t="s">
        <v>49</v>
      </c>
      <c r="S296" t="s">
        <v>47</v>
      </c>
      <c r="T296">
        <v>3.9</v>
      </c>
    </row>
    <row r="297" spans="1:20">
      <c r="A297" t="s">
        <v>365</v>
      </c>
      <c r="B297" s="3">
        <v>45500</v>
      </c>
      <c r="C297" t="s">
        <v>19</v>
      </c>
      <c r="D297" t="s">
        <v>26</v>
      </c>
      <c r="E297" t="s">
        <v>68</v>
      </c>
      <c r="F297" t="s">
        <v>23</v>
      </c>
      <c r="G297" t="s">
        <v>44</v>
      </c>
      <c r="H297">
        <v>22</v>
      </c>
      <c r="I297">
        <v>981.87</v>
      </c>
      <c r="J297">
        <v>757.67</v>
      </c>
      <c r="K297">
        <f t="shared" si="24"/>
        <v>21601.14</v>
      </c>
      <c r="L297">
        <v>0</v>
      </c>
      <c r="M297">
        <f t="shared" si="25"/>
        <v>0</v>
      </c>
      <c r="N297">
        <f t="shared" si="26"/>
        <v>21601.14</v>
      </c>
      <c r="O297">
        <f t="shared" si="27"/>
        <v>16668.739999999998</v>
      </c>
      <c r="P297">
        <f t="shared" si="28"/>
        <v>4932.4000000000015</v>
      </c>
      <c r="Q297">
        <f t="shared" si="29"/>
        <v>22.833980058459886</v>
      </c>
      <c r="R297" t="s">
        <v>49</v>
      </c>
      <c r="S297" t="s">
        <v>41</v>
      </c>
      <c r="T297">
        <v>3.7</v>
      </c>
    </row>
    <row r="298" spans="1:20">
      <c r="A298" t="s">
        <v>366</v>
      </c>
      <c r="B298" s="3">
        <v>45500</v>
      </c>
      <c r="C298" t="s">
        <v>19</v>
      </c>
      <c r="D298" t="s">
        <v>26</v>
      </c>
      <c r="E298" t="s">
        <v>68</v>
      </c>
      <c r="F298" t="s">
        <v>23</v>
      </c>
      <c r="G298" t="s">
        <v>37</v>
      </c>
      <c r="H298">
        <v>43</v>
      </c>
      <c r="I298">
        <v>736.22</v>
      </c>
      <c r="J298">
        <v>540.75</v>
      </c>
      <c r="K298">
        <f t="shared" si="24"/>
        <v>31657.460000000003</v>
      </c>
      <c r="L298">
        <v>0</v>
      </c>
      <c r="M298">
        <f t="shared" si="25"/>
        <v>0</v>
      </c>
      <c r="N298">
        <f t="shared" si="26"/>
        <v>31657.460000000003</v>
      </c>
      <c r="O298">
        <f t="shared" si="27"/>
        <v>23252.25</v>
      </c>
      <c r="P298">
        <f t="shared" si="28"/>
        <v>8405.2100000000028</v>
      </c>
      <c r="Q298">
        <f t="shared" si="29"/>
        <v>26.550487625981372</v>
      </c>
      <c r="R298" t="s">
        <v>49</v>
      </c>
      <c r="S298" t="s">
        <v>43</v>
      </c>
      <c r="T298">
        <v>4.5999999999999996</v>
      </c>
    </row>
    <row r="299" spans="1:20">
      <c r="A299" t="s">
        <v>367</v>
      </c>
      <c r="B299" s="3">
        <v>45501</v>
      </c>
      <c r="C299" t="s">
        <v>19</v>
      </c>
      <c r="D299" t="s">
        <v>26</v>
      </c>
      <c r="E299" t="s">
        <v>68</v>
      </c>
      <c r="F299" t="s">
        <v>23</v>
      </c>
      <c r="G299" t="s">
        <v>38</v>
      </c>
      <c r="H299">
        <v>35</v>
      </c>
      <c r="I299">
        <v>192.32</v>
      </c>
      <c r="J299">
        <v>157.25</v>
      </c>
      <c r="K299">
        <f t="shared" si="24"/>
        <v>6731.2</v>
      </c>
      <c r="L299">
        <v>0</v>
      </c>
      <c r="M299">
        <f t="shared" si="25"/>
        <v>0</v>
      </c>
      <c r="N299">
        <f t="shared" si="26"/>
        <v>6731.2</v>
      </c>
      <c r="O299">
        <f t="shared" si="27"/>
        <v>5503.75</v>
      </c>
      <c r="P299">
        <f t="shared" si="28"/>
        <v>1227.4499999999998</v>
      </c>
      <c r="Q299">
        <f t="shared" si="29"/>
        <v>18.235232945091511</v>
      </c>
      <c r="R299" t="s">
        <v>49</v>
      </c>
      <c r="S299" t="s">
        <v>41</v>
      </c>
      <c r="T299">
        <v>3.5</v>
      </c>
    </row>
    <row r="300" spans="1:20">
      <c r="A300" t="s">
        <v>368</v>
      </c>
      <c r="B300" s="3">
        <v>45503</v>
      </c>
      <c r="C300" t="s">
        <v>19</v>
      </c>
      <c r="D300" t="s">
        <v>28</v>
      </c>
      <c r="E300" t="s">
        <v>68</v>
      </c>
      <c r="F300" t="s">
        <v>24</v>
      </c>
      <c r="G300" t="s">
        <v>29</v>
      </c>
      <c r="H300">
        <v>41</v>
      </c>
      <c r="I300">
        <v>854.49</v>
      </c>
      <c r="J300">
        <v>491.69</v>
      </c>
      <c r="K300">
        <f t="shared" si="24"/>
        <v>35034.090000000004</v>
      </c>
      <c r="L300">
        <v>0.1</v>
      </c>
      <c r="M300">
        <f t="shared" si="25"/>
        <v>3503.4090000000006</v>
      </c>
      <c r="N300">
        <f t="shared" si="26"/>
        <v>31530.681000000004</v>
      </c>
      <c r="O300">
        <f t="shared" si="27"/>
        <v>20159.29</v>
      </c>
      <c r="P300">
        <f t="shared" si="28"/>
        <v>11371.391000000003</v>
      </c>
      <c r="Q300">
        <f t="shared" si="29"/>
        <v>36.064527118840225</v>
      </c>
      <c r="R300" t="s">
        <v>49</v>
      </c>
      <c r="S300" t="s">
        <v>41</v>
      </c>
      <c r="T300">
        <v>3.4</v>
      </c>
    </row>
    <row r="301" spans="1:20">
      <c r="A301" t="s">
        <v>369</v>
      </c>
      <c r="B301" s="3">
        <v>45503</v>
      </c>
      <c r="C301" t="s">
        <v>19</v>
      </c>
      <c r="D301" t="s">
        <v>26</v>
      </c>
      <c r="E301" t="s">
        <v>68</v>
      </c>
      <c r="F301" t="s">
        <v>20</v>
      </c>
      <c r="G301" t="s">
        <v>31</v>
      </c>
      <c r="H301">
        <v>7</v>
      </c>
      <c r="I301">
        <v>920.39</v>
      </c>
      <c r="J301">
        <v>532.6</v>
      </c>
      <c r="K301">
        <f t="shared" si="24"/>
        <v>6442.73</v>
      </c>
      <c r="L301">
        <v>0.1</v>
      </c>
      <c r="M301">
        <f t="shared" si="25"/>
        <v>644.27300000000002</v>
      </c>
      <c r="N301">
        <f t="shared" si="26"/>
        <v>5798.4569999999994</v>
      </c>
      <c r="O301">
        <f t="shared" si="27"/>
        <v>3728.2000000000003</v>
      </c>
      <c r="P301">
        <f t="shared" si="28"/>
        <v>2070.2569999999992</v>
      </c>
      <c r="Q301">
        <f t="shared" si="29"/>
        <v>35.70358459155598</v>
      </c>
      <c r="R301" t="s">
        <v>49</v>
      </c>
      <c r="S301" t="s">
        <v>45</v>
      </c>
      <c r="T301">
        <v>3</v>
      </c>
    </row>
    <row r="302" spans="1:20">
      <c r="A302" t="s">
        <v>370</v>
      </c>
      <c r="B302" s="3">
        <v>45503</v>
      </c>
      <c r="C302" t="s">
        <v>19</v>
      </c>
      <c r="D302" t="s">
        <v>28</v>
      </c>
      <c r="E302" t="s">
        <v>68</v>
      </c>
      <c r="F302" t="s">
        <v>20</v>
      </c>
      <c r="G302" t="s">
        <v>36</v>
      </c>
      <c r="H302">
        <v>25</v>
      </c>
      <c r="I302">
        <v>328.83</v>
      </c>
      <c r="J302">
        <v>193.05</v>
      </c>
      <c r="K302">
        <f t="shared" si="24"/>
        <v>8220.75</v>
      </c>
      <c r="L302">
        <v>0</v>
      </c>
      <c r="M302">
        <f t="shared" si="25"/>
        <v>0</v>
      </c>
      <c r="N302">
        <f t="shared" si="26"/>
        <v>8220.75</v>
      </c>
      <c r="O302">
        <f t="shared" si="27"/>
        <v>4826.25</v>
      </c>
      <c r="P302">
        <f t="shared" si="28"/>
        <v>3394.5</v>
      </c>
      <c r="Q302">
        <f t="shared" si="29"/>
        <v>41.291852933126535</v>
      </c>
      <c r="R302" t="s">
        <v>50</v>
      </c>
      <c r="S302" t="s">
        <v>41</v>
      </c>
      <c r="T302">
        <v>4.7</v>
      </c>
    </row>
    <row r="303" spans="1:20">
      <c r="A303" t="s">
        <v>371</v>
      </c>
      <c r="B303" s="3">
        <v>45504</v>
      </c>
      <c r="C303" t="s">
        <v>19</v>
      </c>
      <c r="D303" t="s">
        <v>28</v>
      </c>
      <c r="E303" t="s">
        <v>86</v>
      </c>
      <c r="F303" t="s">
        <v>23</v>
      </c>
      <c r="G303" t="s">
        <v>44</v>
      </c>
      <c r="H303">
        <v>23</v>
      </c>
      <c r="I303">
        <v>159.29</v>
      </c>
      <c r="J303">
        <v>122.7</v>
      </c>
      <c r="K303">
        <f t="shared" si="24"/>
        <v>3663.6699999999996</v>
      </c>
      <c r="L303">
        <v>0.2</v>
      </c>
      <c r="M303">
        <f t="shared" si="25"/>
        <v>732.73399999999992</v>
      </c>
      <c r="N303">
        <f t="shared" si="26"/>
        <v>2930.9359999999997</v>
      </c>
      <c r="O303">
        <f t="shared" si="27"/>
        <v>2822.1</v>
      </c>
      <c r="P303">
        <f t="shared" si="28"/>
        <v>108.83599999999979</v>
      </c>
      <c r="Q303">
        <f t="shared" si="29"/>
        <v>3.7133530039550435</v>
      </c>
      <c r="R303" t="s">
        <v>50</v>
      </c>
      <c r="S303" t="s">
        <v>47</v>
      </c>
      <c r="T303">
        <v>4.5</v>
      </c>
    </row>
    <row r="304" spans="1:20">
      <c r="A304" t="s">
        <v>372</v>
      </c>
      <c r="B304" s="3">
        <v>45505</v>
      </c>
      <c r="C304" t="s">
        <v>19</v>
      </c>
      <c r="D304" t="s">
        <v>32</v>
      </c>
      <c r="E304" t="s">
        <v>70</v>
      </c>
      <c r="F304" t="s">
        <v>24</v>
      </c>
      <c r="G304" t="s">
        <v>29</v>
      </c>
      <c r="H304">
        <v>24</v>
      </c>
      <c r="I304">
        <v>1103.81</v>
      </c>
      <c r="J304">
        <v>653.32000000000005</v>
      </c>
      <c r="K304">
        <f t="shared" si="24"/>
        <v>26491.439999999999</v>
      </c>
      <c r="L304">
        <v>0</v>
      </c>
      <c r="M304">
        <f t="shared" si="25"/>
        <v>0</v>
      </c>
      <c r="N304">
        <f t="shared" si="26"/>
        <v>26491.439999999999</v>
      </c>
      <c r="O304">
        <f t="shared" si="27"/>
        <v>15679.68</v>
      </c>
      <c r="P304">
        <f t="shared" si="28"/>
        <v>10811.759999999998</v>
      </c>
      <c r="Q304">
        <f t="shared" si="29"/>
        <v>40.812277475290124</v>
      </c>
      <c r="R304" t="s">
        <v>50</v>
      </c>
      <c r="S304" t="s">
        <v>43</v>
      </c>
      <c r="T304">
        <v>4.0999999999999996</v>
      </c>
    </row>
    <row r="305" spans="1:20">
      <c r="A305" t="s">
        <v>373</v>
      </c>
      <c r="B305" s="3">
        <v>45506</v>
      </c>
      <c r="C305" t="s">
        <v>19</v>
      </c>
      <c r="D305" t="s">
        <v>28</v>
      </c>
      <c r="E305" t="s">
        <v>68</v>
      </c>
      <c r="F305" t="s">
        <v>20</v>
      </c>
      <c r="G305" t="s">
        <v>36</v>
      </c>
      <c r="H305">
        <v>18</v>
      </c>
      <c r="I305">
        <v>1364.5</v>
      </c>
      <c r="J305">
        <v>601.26</v>
      </c>
      <c r="K305">
        <f t="shared" si="24"/>
        <v>24561</v>
      </c>
      <c r="L305">
        <v>0.05</v>
      </c>
      <c r="M305">
        <f t="shared" si="25"/>
        <v>1228.0500000000002</v>
      </c>
      <c r="N305">
        <f t="shared" si="26"/>
        <v>23332.95</v>
      </c>
      <c r="O305">
        <f t="shared" si="27"/>
        <v>10822.68</v>
      </c>
      <c r="P305">
        <f t="shared" si="28"/>
        <v>12510.27</v>
      </c>
      <c r="Q305">
        <f t="shared" si="29"/>
        <v>53.616323696746448</v>
      </c>
      <c r="R305" t="s">
        <v>49</v>
      </c>
      <c r="S305" t="s">
        <v>41</v>
      </c>
      <c r="T305">
        <v>4.2</v>
      </c>
    </row>
    <row r="306" spans="1:20">
      <c r="A306" t="s">
        <v>374</v>
      </c>
      <c r="B306" s="3">
        <v>45506</v>
      </c>
      <c r="C306" t="s">
        <v>19</v>
      </c>
      <c r="D306" t="s">
        <v>26</v>
      </c>
      <c r="E306" t="s">
        <v>70</v>
      </c>
      <c r="F306" t="s">
        <v>22</v>
      </c>
      <c r="G306" t="s">
        <v>33</v>
      </c>
      <c r="H306">
        <v>46</v>
      </c>
      <c r="I306">
        <v>84.49</v>
      </c>
      <c r="J306">
        <v>55.32</v>
      </c>
      <c r="K306">
        <f t="shared" si="24"/>
        <v>3886.54</v>
      </c>
      <c r="L306">
        <v>0.1</v>
      </c>
      <c r="M306">
        <f t="shared" si="25"/>
        <v>388.654</v>
      </c>
      <c r="N306">
        <f t="shared" si="26"/>
        <v>3497.886</v>
      </c>
      <c r="O306">
        <f t="shared" si="27"/>
        <v>2544.7199999999998</v>
      </c>
      <c r="P306">
        <f t="shared" si="28"/>
        <v>953.16600000000017</v>
      </c>
      <c r="Q306">
        <f t="shared" si="29"/>
        <v>27.249773148696104</v>
      </c>
      <c r="R306" t="s">
        <v>51</v>
      </c>
      <c r="S306" t="s">
        <v>41</v>
      </c>
      <c r="T306">
        <v>4.3</v>
      </c>
    </row>
    <row r="307" spans="1:20">
      <c r="A307" t="s">
        <v>375</v>
      </c>
      <c r="B307" s="3">
        <v>45509</v>
      </c>
      <c r="C307" t="s">
        <v>19</v>
      </c>
      <c r="D307" t="s">
        <v>32</v>
      </c>
      <c r="E307" t="s">
        <v>68</v>
      </c>
      <c r="F307" t="s">
        <v>24</v>
      </c>
      <c r="G307" t="s">
        <v>29</v>
      </c>
      <c r="H307">
        <v>12</v>
      </c>
      <c r="I307">
        <v>1339.13</v>
      </c>
      <c r="J307">
        <v>676.03</v>
      </c>
      <c r="K307">
        <f t="shared" si="24"/>
        <v>16069.560000000001</v>
      </c>
      <c r="L307">
        <v>0.2</v>
      </c>
      <c r="M307">
        <f t="shared" si="25"/>
        <v>3213.9120000000003</v>
      </c>
      <c r="N307">
        <f t="shared" si="26"/>
        <v>12855.648000000001</v>
      </c>
      <c r="O307">
        <f t="shared" si="27"/>
        <v>8112.36</v>
      </c>
      <c r="P307">
        <f t="shared" si="28"/>
        <v>4743.2880000000014</v>
      </c>
      <c r="Q307">
        <f t="shared" si="29"/>
        <v>36.89652983653567</v>
      </c>
      <c r="R307" t="s">
        <v>49</v>
      </c>
      <c r="S307" t="s">
        <v>41</v>
      </c>
      <c r="T307">
        <v>4.3</v>
      </c>
    </row>
    <row r="308" spans="1:20">
      <c r="A308" t="s">
        <v>376</v>
      </c>
      <c r="B308" s="3">
        <v>45509</v>
      </c>
      <c r="C308" t="s">
        <v>19</v>
      </c>
      <c r="D308" t="s">
        <v>28</v>
      </c>
      <c r="E308" t="s">
        <v>68</v>
      </c>
      <c r="F308" t="s">
        <v>20</v>
      </c>
      <c r="G308" t="s">
        <v>34</v>
      </c>
      <c r="H308">
        <v>46</v>
      </c>
      <c r="I308">
        <v>1268.97</v>
      </c>
      <c r="J308">
        <v>597.59</v>
      </c>
      <c r="K308">
        <f t="shared" si="24"/>
        <v>58372.62</v>
      </c>
      <c r="L308">
        <v>0.1</v>
      </c>
      <c r="M308">
        <f t="shared" si="25"/>
        <v>5837.2620000000006</v>
      </c>
      <c r="N308">
        <f t="shared" si="26"/>
        <v>52535.358</v>
      </c>
      <c r="O308">
        <f t="shared" si="27"/>
        <v>27489.140000000003</v>
      </c>
      <c r="P308">
        <f t="shared" si="28"/>
        <v>25046.217999999997</v>
      </c>
      <c r="Q308">
        <f t="shared" si="29"/>
        <v>47.674973491186634</v>
      </c>
      <c r="R308" t="s">
        <v>49</v>
      </c>
      <c r="S308" t="s">
        <v>41</v>
      </c>
      <c r="T308">
        <v>3.5</v>
      </c>
    </row>
    <row r="309" spans="1:20">
      <c r="A309" t="s">
        <v>377</v>
      </c>
      <c r="B309" s="3">
        <v>45509</v>
      </c>
      <c r="C309" t="s">
        <v>19</v>
      </c>
      <c r="D309" t="s">
        <v>32</v>
      </c>
      <c r="E309" t="s">
        <v>70</v>
      </c>
      <c r="F309" t="s">
        <v>20</v>
      </c>
      <c r="G309" t="s">
        <v>36</v>
      </c>
      <c r="H309">
        <v>33</v>
      </c>
      <c r="I309">
        <v>888.23</v>
      </c>
      <c r="J309">
        <v>461.22</v>
      </c>
      <c r="K309">
        <f t="shared" si="24"/>
        <v>29311.59</v>
      </c>
      <c r="L309">
        <v>0.15</v>
      </c>
      <c r="M309">
        <f t="shared" si="25"/>
        <v>4396.7384999999995</v>
      </c>
      <c r="N309">
        <f t="shared" si="26"/>
        <v>24914.851500000001</v>
      </c>
      <c r="O309">
        <f t="shared" si="27"/>
        <v>15220.26</v>
      </c>
      <c r="P309">
        <f t="shared" si="28"/>
        <v>9694.5915000000005</v>
      </c>
      <c r="Q309">
        <f t="shared" si="29"/>
        <v>38.910894170892412</v>
      </c>
      <c r="R309" t="s">
        <v>50</v>
      </c>
      <c r="S309" t="s">
        <v>41</v>
      </c>
      <c r="T309">
        <v>4.8</v>
      </c>
    </row>
    <row r="310" spans="1:20">
      <c r="A310" t="s">
        <v>378</v>
      </c>
      <c r="B310" s="3">
        <v>45512</v>
      </c>
      <c r="C310" t="s">
        <v>19</v>
      </c>
      <c r="D310" t="s">
        <v>30</v>
      </c>
      <c r="E310" t="s">
        <v>70</v>
      </c>
      <c r="F310" t="s">
        <v>22</v>
      </c>
      <c r="G310" t="s">
        <v>33</v>
      </c>
      <c r="H310">
        <v>33</v>
      </c>
      <c r="I310">
        <v>1041.46</v>
      </c>
      <c r="J310">
        <v>667.54</v>
      </c>
      <c r="K310">
        <f t="shared" si="24"/>
        <v>34368.18</v>
      </c>
      <c r="L310">
        <v>0</v>
      </c>
      <c r="M310">
        <f t="shared" si="25"/>
        <v>0</v>
      </c>
      <c r="N310">
        <f t="shared" si="26"/>
        <v>34368.18</v>
      </c>
      <c r="O310">
        <f t="shared" si="27"/>
        <v>22028.82</v>
      </c>
      <c r="P310">
        <f t="shared" si="28"/>
        <v>12339.36</v>
      </c>
      <c r="Q310">
        <f t="shared" si="29"/>
        <v>35.903443243139435</v>
      </c>
      <c r="R310" t="s">
        <v>49</v>
      </c>
      <c r="S310" t="s">
        <v>41</v>
      </c>
      <c r="T310">
        <v>4.5</v>
      </c>
    </row>
    <row r="311" spans="1:20">
      <c r="A311" t="s">
        <v>379</v>
      </c>
      <c r="B311" s="3">
        <v>45512</v>
      </c>
      <c r="C311" t="s">
        <v>19</v>
      </c>
      <c r="D311" t="s">
        <v>26</v>
      </c>
      <c r="E311" t="s">
        <v>70</v>
      </c>
      <c r="F311" t="s">
        <v>24</v>
      </c>
      <c r="G311" t="s">
        <v>46</v>
      </c>
      <c r="H311">
        <v>15</v>
      </c>
      <c r="I311">
        <v>10.88</v>
      </c>
      <c r="J311">
        <v>7.03</v>
      </c>
      <c r="K311">
        <f t="shared" si="24"/>
        <v>163.20000000000002</v>
      </c>
      <c r="L311">
        <v>0.15</v>
      </c>
      <c r="M311">
        <f t="shared" si="25"/>
        <v>24.48</v>
      </c>
      <c r="N311">
        <f t="shared" si="26"/>
        <v>138.72000000000003</v>
      </c>
      <c r="O311">
        <f t="shared" si="27"/>
        <v>105.45</v>
      </c>
      <c r="P311">
        <f t="shared" si="28"/>
        <v>33.270000000000024</v>
      </c>
      <c r="Q311">
        <f t="shared" si="29"/>
        <v>23.983564013840844</v>
      </c>
      <c r="R311" t="s">
        <v>49</v>
      </c>
      <c r="S311" t="s">
        <v>43</v>
      </c>
      <c r="T311">
        <v>3.9</v>
      </c>
    </row>
    <row r="312" spans="1:20">
      <c r="A312" t="s">
        <v>380</v>
      </c>
      <c r="B312" s="3">
        <v>45513</v>
      </c>
      <c r="C312" t="s">
        <v>19</v>
      </c>
      <c r="D312" t="s">
        <v>30</v>
      </c>
      <c r="E312" t="s">
        <v>68</v>
      </c>
      <c r="F312" t="s">
        <v>24</v>
      </c>
      <c r="G312" t="s">
        <v>46</v>
      </c>
      <c r="H312">
        <v>9</v>
      </c>
      <c r="I312">
        <v>257.70999999999998</v>
      </c>
      <c r="J312">
        <v>157.77000000000001</v>
      </c>
      <c r="K312">
        <f t="shared" si="24"/>
        <v>2319.39</v>
      </c>
      <c r="L312">
        <v>0</v>
      </c>
      <c r="M312">
        <f t="shared" si="25"/>
        <v>0</v>
      </c>
      <c r="N312">
        <f t="shared" si="26"/>
        <v>2319.39</v>
      </c>
      <c r="O312">
        <f t="shared" si="27"/>
        <v>1419.93</v>
      </c>
      <c r="P312">
        <f t="shared" si="28"/>
        <v>899.45999999999981</v>
      </c>
      <c r="Q312">
        <f t="shared" si="29"/>
        <v>38.78002405804974</v>
      </c>
      <c r="R312" t="s">
        <v>50</v>
      </c>
      <c r="S312" t="s">
        <v>45</v>
      </c>
      <c r="T312">
        <v>3.8</v>
      </c>
    </row>
    <row r="313" spans="1:20">
      <c r="A313" t="s">
        <v>381</v>
      </c>
      <c r="B313" s="3">
        <v>45513</v>
      </c>
      <c r="C313" t="s">
        <v>19</v>
      </c>
      <c r="D313" t="s">
        <v>28</v>
      </c>
      <c r="E313" t="s">
        <v>86</v>
      </c>
      <c r="F313" t="s">
        <v>22</v>
      </c>
      <c r="G313" t="s">
        <v>33</v>
      </c>
      <c r="H313">
        <v>14</v>
      </c>
      <c r="I313">
        <v>759.68</v>
      </c>
      <c r="J313">
        <v>595.82000000000005</v>
      </c>
      <c r="K313">
        <f t="shared" si="24"/>
        <v>10635.519999999999</v>
      </c>
      <c r="L313">
        <v>0.2</v>
      </c>
      <c r="M313">
        <f t="shared" si="25"/>
        <v>2127.1039999999998</v>
      </c>
      <c r="N313">
        <f t="shared" si="26"/>
        <v>8508.4159999999993</v>
      </c>
      <c r="O313">
        <f t="shared" si="27"/>
        <v>8341.4800000000014</v>
      </c>
      <c r="P313">
        <f t="shared" si="28"/>
        <v>166.93599999999788</v>
      </c>
      <c r="Q313">
        <f t="shared" si="29"/>
        <v>1.9620103201347687</v>
      </c>
      <c r="R313" t="s">
        <v>51</v>
      </c>
      <c r="S313" t="s">
        <v>43</v>
      </c>
      <c r="T313">
        <v>4.8</v>
      </c>
    </row>
    <row r="314" spans="1:20">
      <c r="A314" t="s">
        <v>382</v>
      </c>
      <c r="B314" s="3">
        <v>45513</v>
      </c>
      <c r="C314" t="s">
        <v>19</v>
      </c>
      <c r="D314" t="s">
        <v>32</v>
      </c>
      <c r="E314" t="s">
        <v>68</v>
      </c>
      <c r="F314" t="s">
        <v>22</v>
      </c>
      <c r="G314" t="s">
        <v>35</v>
      </c>
      <c r="H314">
        <v>16</v>
      </c>
      <c r="I314">
        <v>991.51</v>
      </c>
      <c r="J314">
        <v>788.18</v>
      </c>
      <c r="K314">
        <f t="shared" si="24"/>
        <v>15864.16</v>
      </c>
      <c r="L314">
        <v>0.05</v>
      </c>
      <c r="M314">
        <f t="shared" si="25"/>
        <v>793.20800000000008</v>
      </c>
      <c r="N314">
        <f t="shared" si="26"/>
        <v>15070.951999999999</v>
      </c>
      <c r="O314">
        <f t="shared" si="27"/>
        <v>12610.88</v>
      </c>
      <c r="P314">
        <f t="shared" si="28"/>
        <v>2460.0720000000001</v>
      </c>
      <c r="Q314">
        <f t="shared" si="29"/>
        <v>16.323268762318399</v>
      </c>
      <c r="R314" t="s">
        <v>49</v>
      </c>
      <c r="S314" t="s">
        <v>45</v>
      </c>
      <c r="T314">
        <v>4.5999999999999996</v>
      </c>
    </row>
    <row r="315" spans="1:20">
      <c r="A315" t="s">
        <v>383</v>
      </c>
      <c r="B315" s="3">
        <v>45513</v>
      </c>
      <c r="C315" t="s">
        <v>19</v>
      </c>
      <c r="D315" t="s">
        <v>28</v>
      </c>
      <c r="E315" t="s">
        <v>86</v>
      </c>
      <c r="F315" t="s">
        <v>20</v>
      </c>
      <c r="G315" t="s">
        <v>31</v>
      </c>
      <c r="H315">
        <v>47</v>
      </c>
      <c r="I315">
        <v>200.97</v>
      </c>
      <c r="J315">
        <v>72.22</v>
      </c>
      <c r="K315">
        <f t="shared" si="24"/>
        <v>9445.59</v>
      </c>
      <c r="L315">
        <v>0.15</v>
      </c>
      <c r="M315">
        <f t="shared" si="25"/>
        <v>1416.8385000000001</v>
      </c>
      <c r="N315">
        <f t="shared" si="26"/>
        <v>8028.7515000000003</v>
      </c>
      <c r="O315">
        <f t="shared" si="27"/>
        <v>3394.34</v>
      </c>
      <c r="P315">
        <f t="shared" si="28"/>
        <v>4634.4115000000002</v>
      </c>
      <c r="Q315">
        <f t="shared" si="29"/>
        <v>57.722692002610863</v>
      </c>
      <c r="R315" t="s">
        <v>50</v>
      </c>
      <c r="S315" t="s">
        <v>41</v>
      </c>
      <c r="T315">
        <v>4.3</v>
      </c>
    </row>
    <row r="316" spans="1:20">
      <c r="A316" t="s">
        <v>384</v>
      </c>
      <c r="B316" s="3">
        <v>45513</v>
      </c>
      <c r="C316" t="s">
        <v>19</v>
      </c>
      <c r="D316" t="s">
        <v>30</v>
      </c>
      <c r="E316" t="s">
        <v>86</v>
      </c>
      <c r="F316" t="s">
        <v>22</v>
      </c>
      <c r="G316" t="s">
        <v>33</v>
      </c>
      <c r="H316">
        <v>39</v>
      </c>
      <c r="I316">
        <v>1197.17</v>
      </c>
      <c r="J316">
        <v>757.57</v>
      </c>
      <c r="K316">
        <f t="shared" si="24"/>
        <v>46689.630000000005</v>
      </c>
      <c r="L316">
        <v>0.05</v>
      </c>
      <c r="M316">
        <f t="shared" si="25"/>
        <v>2334.4815000000003</v>
      </c>
      <c r="N316">
        <f t="shared" si="26"/>
        <v>44355.148500000003</v>
      </c>
      <c r="O316">
        <f t="shared" si="27"/>
        <v>29545.230000000003</v>
      </c>
      <c r="P316">
        <f t="shared" si="28"/>
        <v>14809.9185</v>
      </c>
      <c r="Q316">
        <f t="shared" si="29"/>
        <v>33.38940123264382</v>
      </c>
      <c r="R316" t="s">
        <v>51</v>
      </c>
      <c r="S316" t="s">
        <v>41</v>
      </c>
      <c r="T316">
        <v>3.4</v>
      </c>
    </row>
    <row r="317" spans="1:20">
      <c r="A317" t="s">
        <v>385</v>
      </c>
      <c r="B317" s="3">
        <v>45514</v>
      </c>
      <c r="C317" t="s">
        <v>19</v>
      </c>
      <c r="D317" t="s">
        <v>28</v>
      </c>
      <c r="E317" t="s">
        <v>68</v>
      </c>
      <c r="F317" t="s">
        <v>22</v>
      </c>
      <c r="G317" t="s">
        <v>35</v>
      </c>
      <c r="H317">
        <v>25</v>
      </c>
      <c r="I317">
        <v>1139.27</v>
      </c>
      <c r="J317">
        <v>752.84</v>
      </c>
      <c r="K317">
        <f t="shared" si="24"/>
        <v>28481.75</v>
      </c>
      <c r="L317">
        <v>0.1</v>
      </c>
      <c r="M317">
        <f t="shared" si="25"/>
        <v>2848.1750000000002</v>
      </c>
      <c r="N317">
        <f t="shared" si="26"/>
        <v>25633.575000000001</v>
      </c>
      <c r="O317">
        <f t="shared" si="27"/>
        <v>18821</v>
      </c>
      <c r="P317">
        <f t="shared" si="28"/>
        <v>6812.5750000000007</v>
      </c>
      <c r="Q317">
        <f t="shared" si="29"/>
        <v>26.576765043502519</v>
      </c>
      <c r="R317" t="s">
        <v>49</v>
      </c>
      <c r="S317" t="s">
        <v>43</v>
      </c>
      <c r="T317">
        <v>3.4</v>
      </c>
    </row>
    <row r="318" spans="1:20">
      <c r="A318" t="s">
        <v>386</v>
      </c>
      <c r="B318" s="3">
        <v>45514</v>
      </c>
      <c r="C318" t="s">
        <v>19</v>
      </c>
      <c r="D318" t="s">
        <v>32</v>
      </c>
      <c r="E318" t="s">
        <v>70</v>
      </c>
      <c r="F318" t="s">
        <v>22</v>
      </c>
      <c r="G318" t="s">
        <v>33</v>
      </c>
      <c r="H318">
        <v>50</v>
      </c>
      <c r="I318">
        <v>336.63</v>
      </c>
      <c r="J318">
        <v>241.77</v>
      </c>
      <c r="K318">
        <f t="shared" si="24"/>
        <v>16831.5</v>
      </c>
      <c r="L318">
        <v>0.05</v>
      </c>
      <c r="M318">
        <f t="shared" si="25"/>
        <v>841.57500000000005</v>
      </c>
      <c r="N318">
        <f t="shared" si="26"/>
        <v>15989.924999999999</v>
      </c>
      <c r="O318">
        <f t="shared" si="27"/>
        <v>12088.5</v>
      </c>
      <c r="P318">
        <f t="shared" si="28"/>
        <v>3901.4249999999993</v>
      </c>
      <c r="Q318">
        <f t="shared" si="29"/>
        <v>24.399270165432295</v>
      </c>
      <c r="R318" t="s">
        <v>49</v>
      </c>
      <c r="S318" t="s">
        <v>43</v>
      </c>
      <c r="T318">
        <v>3.5</v>
      </c>
    </row>
    <row r="319" spans="1:20">
      <c r="A319" t="s">
        <v>387</v>
      </c>
      <c r="B319" s="3">
        <v>45515</v>
      </c>
      <c r="C319" t="s">
        <v>19</v>
      </c>
      <c r="D319" t="s">
        <v>26</v>
      </c>
      <c r="E319" t="s">
        <v>68</v>
      </c>
      <c r="F319" t="s">
        <v>24</v>
      </c>
      <c r="G319" t="s">
        <v>40</v>
      </c>
      <c r="H319">
        <v>4</v>
      </c>
      <c r="I319">
        <v>677.06</v>
      </c>
      <c r="J319">
        <v>450.48</v>
      </c>
      <c r="K319">
        <f t="shared" si="24"/>
        <v>2708.24</v>
      </c>
      <c r="L319">
        <v>0.1</v>
      </c>
      <c r="M319">
        <f t="shared" si="25"/>
        <v>270.82400000000001</v>
      </c>
      <c r="N319">
        <f t="shared" si="26"/>
        <v>2437.4159999999997</v>
      </c>
      <c r="O319">
        <f t="shared" si="27"/>
        <v>1801.92</v>
      </c>
      <c r="P319">
        <f t="shared" si="28"/>
        <v>635.49599999999964</v>
      </c>
      <c r="Q319">
        <f t="shared" si="29"/>
        <v>26.07252926870094</v>
      </c>
      <c r="R319" t="s">
        <v>49</v>
      </c>
      <c r="S319" t="s">
        <v>41</v>
      </c>
      <c r="T319">
        <v>3.7</v>
      </c>
    </row>
    <row r="320" spans="1:20">
      <c r="A320" t="s">
        <v>388</v>
      </c>
      <c r="B320" s="3">
        <v>45515</v>
      </c>
      <c r="C320" t="s">
        <v>19</v>
      </c>
      <c r="D320" t="s">
        <v>28</v>
      </c>
      <c r="E320" t="s">
        <v>68</v>
      </c>
      <c r="F320" t="s">
        <v>20</v>
      </c>
      <c r="G320" t="s">
        <v>36</v>
      </c>
      <c r="H320">
        <v>29</v>
      </c>
      <c r="I320">
        <v>82.8</v>
      </c>
      <c r="J320">
        <v>46.44</v>
      </c>
      <c r="K320">
        <f t="shared" si="24"/>
        <v>2401.1999999999998</v>
      </c>
      <c r="L320">
        <v>0</v>
      </c>
      <c r="M320">
        <f t="shared" si="25"/>
        <v>0</v>
      </c>
      <c r="N320">
        <f t="shared" si="26"/>
        <v>2401.1999999999998</v>
      </c>
      <c r="O320">
        <f t="shared" si="27"/>
        <v>1346.76</v>
      </c>
      <c r="P320">
        <f t="shared" si="28"/>
        <v>1054.4399999999998</v>
      </c>
      <c r="Q320">
        <f t="shared" si="29"/>
        <v>43.913043478260867</v>
      </c>
      <c r="R320" t="s">
        <v>49</v>
      </c>
      <c r="S320" t="s">
        <v>45</v>
      </c>
      <c r="T320">
        <v>4.7</v>
      </c>
    </row>
    <row r="321" spans="1:20">
      <c r="A321" t="s">
        <v>389</v>
      </c>
      <c r="B321" s="3">
        <v>45516</v>
      </c>
      <c r="C321" t="s">
        <v>19</v>
      </c>
      <c r="D321" t="s">
        <v>30</v>
      </c>
      <c r="E321" t="s">
        <v>68</v>
      </c>
      <c r="F321" t="s">
        <v>22</v>
      </c>
      <c r="G321" t="s">
        <v>35</v>
      </c>
      <c r="H321">
        <v>24</v>
      </c>
      <c r="I321">
        <v>25.04</v>
      </c>
      <c r="J321">
        <v>18.78</v>
      </c>
      <c r="K321">
        <f t="shared" si="24"/>
        <v>600.96</v>
      </c>
      <c r="L321">
        <v>0</v>
      </c>
      <c r="M321">
        <f t="shared" si="25"/>
        <v>0</v>
      </c>
      <c r="N321">
        <f t="shared" si="26"/>
        <v>600.96</v>
      </c>
      <c r="O321">
        <f t="shared" si="27"/>
        <v>450.72</v>
      </c>
      <c r="P321">
        <f t="shared" si="28"/>
        <v>150.24</v>
      </c>
      <c r="Q321">
        <f t="shared" si="29"/>
        <v>25</v>
      </c>
      <c r="R321" t="s">
        <v>49</v>
      </c>
      <c r="S321" t="s">
        <v>45</v>
      </c>
      <c r="T321">
        <v>4.2</v>
      </c>
    </row>
    <row r="322" spans="1:20">
      <c r="A322" t="s">
        <v>390</v>
      </c>
      <c r="B322" s="3">
        <v>45516</v>
      </c>
      <c r="C322" t="s">
        <v>19</v>
      </c>
      <c r="D322" t="s">
        <v>32</v>
      </c>
      <c r="E322" t="s">
        <v>68</v>
      </c>
      <c r="F322" t="s">
        <v>23</v>
      </c>
      <c r="G322" t="s">
        <v>38</v>
      </c>
      <c r="H322">
        <v>17</v>
      </c>
      <c r="I322">
        <v>340.45</v>
      </c>
      <c r="J322">
        <v>261.33</v>
      </c>
      <c r="K322">
        <f t="shared" ref="K322:K385" si="30">H322*I322</f>
        <v>5787.65</v>
      </c>
      <c r="L322">
        <v>0</v>
      </c>
      <c r="M322">
        <f t="shared" ref="M322:M385" si="31">K322*L322</f>
        <v>0</v>
      </c>
      <c r="N322">
        <f t="shared" ref="N322:N385" si="32">K322-M322</f>
        <v>5787.65</v>
      </c>
      <c r="O322">
        <f t="shared" ref="O322:O385" si="33">H322*J322</f>
        <v>4442.6099999999997</v>
      </c>
      <c r="P322">
        <f t="shared" ref="P322:P385" si="34">N322-O322</f>
        <v>1345.04</v>
      </c>
      <c r="Q322">
        <f t="shared" ref="Q322:Q385" si="35">IFERROR(P322/N322*100,0)</f>
        <v>23.239829637244824</v>
      </c>
      <c r="R322" t="s">
        <v>51</v>
      </c>
      <c r="S322" t="s">
        <v>43</v>
      </c>
      <c r="T322">
        <v>3.4</v>
      </c>
    </row>
    <row r="323" spans="1:20">
      <c r="A323" t="s">
        <v>391</v>
      </c>
      <c r="B323" s="3">
        <v>45518</v>
      </c>
      <c r="C323" t="s">
        <v>19</v>
      </c>
      <c r="D323" t="s">
        <v>30</v>
      </c>
      <c r="E323" t="s">
        <v>86</v>
      </c>
      <c r="F323" t="s">
        <v>24</v>
      </c>
      <c r="G323" t="s">
        <v>40</v>
      </c>
      <c r="H323">
        <v>4</v>
      </c>
      <c r="I323">
        <v>1444.88</v>
      </c>
      <c r="J323">
        <v>804.91</v>
      </c>
      <c r="K323">
        <f t="shared" si="30"/>
        <v>5779.52</v>
      </c>
      <c r="L323">
        <v>0</v>
      </c>
      <c r="M323">
        <f t="shared" si="31"/>
        <v>0</v>
      </c>
      <c r="N323">
        <f t="shared" si="32"/>
        <v>5779.52</v>
      </c>
      <c r="O323">
        <f t="shared" si="33"/>
        <v>3219.64</v>
      </c>
      <c r="P323">
        <f t="shared" si="34"/>
        <v>2559.8800000000006</v>
      </c>
      <c r="Q323">
        <f t="shared" si="35"/>
        <v>44.292259564808155</v>
      </c>
      <c r="R323" t="s">
        <v>50</v>
      </c>
      <c r="S323" t="s">
        <v>41</v>
      </c>
      <c r="T323">
        <v>4.4000000000000004</v>
      </c>
    </row>
    <row r="324" spans="1:20">
      <c r="A324" t="s">
        <v>392</v>
      </c>
      <c r="B324" s="3">
        <v>45518</v>
      </c>
      <c r="C324" t="s">
        <v>19</v>
      </c>
      <c r="D324" t="s">
        <v>28</v>
      </c>
      <c r="E324" t="s">
        <v>70</v>
      </c>
      <c r="F324" t="s">
        <v>24</v>
      </c>
      <c r="G324" t="s">
        <v>29</v>
      </c>
      <c r="H324">
        <v>5</v>
      </c>
      <c r="I324">
        <v>1288.83</v>
      </c>
      <c r="J324">
        <v>732</v>
      </c>
      <c r="K324">
        <f t="shared" si="30"/>
        <v>6444.15</v>
      </c>
      <c r="L324">
        <v>0.2</v>
      </c>
      <c r="M324">
        <f t="shared" si="31"/>
        <v>1288.83</v>
      </c>
      <c r="N324">
        <f t="shared" si="32"/>
        <v>5155.32</v>
      </c>
      <c r="O324">
        <f t="shared" si="33"/>
        <v>3660</v>
      </c>
      <c r="P324">
        <f t="shared" si="34"/>
        <v>1495.3199999999997</v>
      </c>
      <c r="Q324">
        <f t="shared" si="35"/>
        <v>29.005376969809827</v>
      </c>
      <c r="R324" t="s">
        <v>50</v>
      </c>
      <c r="S324" t="s">
        <v>45</v>
      </c>
      <c r="T324">
        <v>4.9000000000000004</v>
      </c>
    </row>
    <row r="325" spans="1:20">
      <c r="A325" t="s">
        <v>393</v>
      </c>
      <c r="B325" s="3">
        <v>45519</v>
      </c>
      <c r="C325" t="s">
        <v>19</v>
      </c>
      <c r="D325" t="s">
        <v>30</v>
      </c>
      <c r="E325" t="s">
        <v>68</v>
      </c>
      <c r="F325" t="s">
        <v>24</v>
      </c>
      <c r="G325" t="s">
        <v>40</v>
      </c>
      <c r="H325">
        <v>34</v>
      </c>
      <c r="I325">
        <v>803.53</v>
      </c>
      <c r="J325">
        <v>517.48</v>
      </c>
      <c r="K325">
        <f t="shared" si="30"/>
        <v>27320.02</v>
      </c>
      <c r="L325">
        <v>0</v>
      </c>
      <c r="M325">
        <f t="shared" si="31"/>
        <v>0</v>
      </c>
      <c r="N325">
        <f t="shared" si="32"/>
        <v>27320.02</v>
      </c>
      <c r="O325">
        <f t="shared" si="33"/>
        <v>17594.32</v>
      </c>
      <c r="P325">
        <f t="shared" si="34"/>
        <v>9725.7000000000007</v>
      </c>
      <c r="Q325">
        <f t="shared" si="35"/>
        <v>35.599168668251338</v>
      </c>
      <c r="R325" t="s">
        <v>49</v>
      </c>
      <c r="S325" t="s">
        <v>43</v>
      </c>
      <c r="T325">
        <v>4.4000000000000004</v>
      </c>
    </row>
    <row r="326" spans="1:20">
      <c r="A326" t="s">
        <v>394</v>
      </c>
      <c r="B326" s="3">
        <v>45519</v>
      </c>
      <c r="C326" t="s">
        <v>19</v>
      </c>
      <c r="D326" t="s">
        <v>30</v>
      </c>
      <c r="E326" t="s">
        <v>70</v>
      </c>
      <c r="F326" t="s">
        <v>23</v>
      </c>
      <c r="G326" t="s">
        <v>44</v>
      </c>
      <c r="H326">
        <v>50</v>
      </c>
      <c r="I326">
        <v>1433.78</v>
      </c>
      <c r="J326">
        <v>1013.35</v>
      </c>
      <c r="K326">
        <f t="shared" si="30"/>
        <v>71689</v>
      </c>
      <c r="L326">
        <v>0.25</v>
      </c>
      <c r="M326">
        <f t="shared" si="31"/>
        <v>17922.25</v>
      </c>
      <c r="N326">
        <f t="shared" si="32"/>
        <v>53766.75</v>
      </c>
      <c r="O326">
        <f t="shared" si="33"/>
        <v>50667.5</v>
      </c>
      <c r="P326">
        <f t="shared" si="34"/>
        <v>3099.25</v>
      </c>
      <c r="Q326">
        <f t="shared" si="35"/>
        <v>5.7642502103995499</v>
      </c>
      <c r="R326" t="s">
        <v>50</v>
      </c>
      <c r="S326" t="s">
        <v>45</v>
      </c>
      <c r="T326">
        <v>4.2</v>
      </c>
    </row>
    <row r="327" spans="1:20">
      <c r="A327" t="s">
        <v>395</v>
      </c>
      <c r="B327" s="3">
        <v>45519</v>
      </c>
      <c r="C327" t="s">
        <v>19</v>
      </c>
      <c r="D327" t="s">
        <v>26</v>
      </c>
      <c r="E327" t="s">
        <v>86</v>
      </c>
      <c r="F327" t="s">
        <v>22</v>
      </c>
      <c r="G327" t="s">
        <v>33</v>
      </c>
      <c r="H327">
        <v>19</v>
      </c>
      <c r="I327">
        <v>1379.94</v>
      </c>
      <c r="J327">
        <v>900.3</v>
      </c>
      <c r="K327">
        <f t="shared" si="30"/>
        <v>26218.86</v>
      </c>
      <c r="L327">
        <v>0</v>
      </c>
      <c r="M327">
        <f t="shared" si="31"/>
        <v>0</v>
      </c>
      <c r="N327">
        <f t="shared" si="32"/>
        <v>26218.86</v>
      </c>
      <c r="O327">
        <f t="shared" si="33"/>
        <v>17105.7</v>
      </c>
      <c r="P327">
        <f t="shared" si="34"/>
        <v>9113.16</v>
      </c>
      <c r="Q327">
        <f t="shared" si="35"/>
        <v>34.75803295795469</v>
      </c>
      <c r="R327" t="s">
        <v>51</v>
      </c>
      <c r="S327" t="s">
        <v>45</v>
      </c>
      <c r="T327">
        <v>3.5</v>
      </c>
    </row>
    <row r="328" spans="1:20">
      <c r="A328" t="s">
        <v>396</v>
      </c>
      <c r="B328" s="3">
        <v>45523</v>
      </c>
      <c r="C328" t="s">
        <v>19</v>
      </c>
      <c r="D328" t="s">
        <v>28</v>
      </c>
      <c r="E328" t="s">
        <v>68</v>
      </c>
      <c r="F328" t="s">
        <v>20</v>
      </c>
      <c r="G328" t="s">
        <v>36</v>
      </c>
      <c r="H328">
        <v>23</v>
      </c>
      <c r="I328">
        <v>296.14999999999998</v>
      </c>
      <c r="J328">
        <v>136.65</v>
      </c>
      <c r="K328">
        <f t="shared" si="30"/>
        <v>6811.45</v>
      </c>
      <c r="L328">
        <v>0</v>
      </c>
      <c r="M328">
        <f t="shared" si="31"/>
        <v>0</v>
      </c>
      <c r="N328">
        <f t="shared" si="32"/>
        <v>6811.45</v>
      </c>
      <c r="O328">
        <f t="shared" si="33"/>
        <v>3142.9500000000003</v>
      </c>
      <c r="P328">
        <f t="shared" si="34"/>
        <v>3668.4999999999995</v>
      </c>
      <c r="Q328">
        <f t="shared" si="35"/>
        <v>53.857842309640382</v>
      </c>
      <c r="R328" t="s">
        <v>50</v>
      </c>
      <c r="S328" t="s">
        <v>45</v>
      </c>
      <c r="T328">
        <v>3.8</v>
      </c>
    </row>
    <row r="329" spans="1:20">
      <c r="A329" t="s">
        <v>397</v>
      </c>
      <c r="B329" s="3">
        <v>45523</v>
      </c>
      <c r="C329" t="s">
        <v>19</v>
      </c>
      <c r="D329" t="s">
        <v>30</v>
      </c>
      <c r="E329" t="s">
        <v>86</v>
      </c>
      <c r="F329" t="s">
        <v>22</v>
      </c>
      <c r="G329" t="s">
        <v>33</v>
      </c>
      <c r="H329">
        <v>6</v>
      </c>
      <c r="I329">
        <v>56.84</v>
      </c>
      <c r="J329">
        <v>38.520000000000003</v>
      </c>
      <c r="K329">
        <f t="shared" si="30"/>
        <v>341.04</v>
      </c>
      <c r="L329">
        <v>0.15</v>
      </c>
      <c r="M329">
        <f t="shared" si="31"/>
        <v>51.155999999999999</v>
      </c>
      <c r="N329">
        <f t="shared" si="32"/>
        <v>289.88400000000001</v>
      </c>
      <c r="O329">
        <f t="shared" si="33"/>
        <v>231.12</v>
      </c>
      <c r="P329">
        <f t="shared" si="34"/>
        <v>58.76400000000001</v>
      </c>
      <c r="Q329">
        <f t="shared" si="35"/>
        <v>20.271556898621519</v>
      </c>
      <c r="R329" t="s">
        <v>49</v>
      </c>
      <c r="S329" t="s">
        <v>43</v>
      </c>
      <c r="T329">
        <v>3.6</v>
      </c>
    </row>
    <row r="330" spans="1:20">
      <c r="A330" t="s">
        <v>398</v>
      </c>
      <c r="B330" s="3">
        <v>45525</v>
      </c>
      <c r="C330" t="s">
        <v>19</v>
      </c>
      <c r="D330" t="s">
        <v>30</v>
      </c>
      <c r="E330" t="s">
        <v>68</v>
      </c>
      <c r="F330" t="s">
        <v>22</v>
      </c>
      <c r="G330" t="s">
        <v>33</v>
      </c>
      <c r="H330">
        <v>41</v>
      </c>
      <c r="I330">
        <v>880.56</v>
      </c>
      <c r="J330">
        <v>630.54999999999995</v>
      </c>
      <c r="K330">
        <f t="shared" si="30"/>
        <v>36102.959999999999</v>
      </c>
      <c r="L330">
        <v>0.1</v>
      </c>
      <c r="M330">
        <f t="shared" si="31"/>
        <v>3610.2960000000003</v>
      </c>
      <c r="N330">
        <f t="shared" si="32"/>
        <v>32492.663999999997</v>
      </c>
      <c r="O330">
        <f t="shared" si="33"/>
        <v>25852.55</v>
      </c>
      <c r="P330">
        <f t="shared" si="34"/>
        <v>6640.1139999999978</v>
      </c>
      <c r="Q330">
        <f t="shared" si="35"/>
        <v>20.435732816490511</v>
      </c>
      <c r="R330" t="s">
        <v>50</v>
      </c>
      <c r="S330" t="s">
        <v>41</v>
      </c>
      <c r="T330">
        <v>3.1</v>
      </c>
    </row>
    <row r="331" spans="1:20">
      <c r="A331" t="s">
        <v>399</v>
      </c>
      <c r="B331" s="3">
        <v>45525</v>
      </c>
      <c r="C331" t="s">
        <v>19</v>
      </c>
      <c r="D331" t="s">
        <v>26</v>
      </c>
      <c r="E331" t="s">
        <v>70</v>
      </c>
      <c r="F331" t="s">
        <v>22</v>
      </c>
      <c r="G331" t="s">
        <v>35</v>
      </c>
      <c r="H331">
        <v>25</v>
      </c>
      <c r="I331">
        <v>400.28</v>
      </c>
      <c r="J331">
        <v>300.39</v>
      </c>
      <c r="K331">
        <f t="shared" si="30"/>
        <v>10007</v>
      </c>
      <c r="L331">
        <v>0.05</v>
      </c>
      <c r="M331">
        <f t="shared" si="31"/>
        <v>500.35</v>
      </c>
      <c r="N331">
        <f t="shared" si="32"/>
        <v>9506.65</v>
      </c>
      <c r="O331">
        <f t="shared" si="33"/>
        <v>7509.75</v>
      </c>
      <c r="P331">
        <f t="shared" si="34"/>
        <v>1996.8999999999996</v>
      </c>
      <c r="Q331">
        <f t="shared" si="35"/>
        <v>21.00529629259518</v>
      </c>
      <c r="R331" t="s">
        <v>49</v>
      </c>
      <c r="S331" t="s">
        <v>43</v>
      </c>
      <c r="T331">
        <v>4.5999999999999996</v>
      </c>
    </row>
    <row r="332" spans="1:20">
      <c r="A332" t="s">
        <v>400</v>
      </c>
      <c r="B332" s="3">
        <v>45525</v>
      </c>
      <c r="C332" t="s">
        <v>19</v>
      </c>
      <c r="D332" t="s">
        <v>26</v>
      </c>
      <c r="E332" t="s">
        <v>68</v>
      </c>
      <c r="F332" t="s">
        <v>24</v>
      </c>
      <c r="G332" t="s">
        <v>46</v>
      </c>
      <c r="H332">
        <v>21</v>
      </c>
      <c r="I332">
        <v>209.8</v>
      </c>
      <c r="J332">
        <v>131.91999999999999</v>
      </c>
      <c r="K332">
        <f t="shared" si="30"/>
        <v>4405.8</v>
      </c>
      <c r="L332">
        <v>0.05</v>
      </c>
      <c r="M332">
        <f t="shared" si="31"/>
        <v>220.29000000000002</v>
      </c>
      <c r="N332">
        <f t="shared" si="32"/>
        <v>4185.51</v>
      </c>
      <c r="O332">
        <f t="shared" si="33"/>
        <v>2770.3199999999997</v>
      </c>
      <c r="P332">
        <f t="shared" si="34"/>
        <v>1415.1900000000005</v>
      </c>
      <c r="Q332">
        <f t="shared" si="35"/>
        <v>33.811650193166436</v>
      </c>
      <c r="R332" t="s">
        <v>49</v>
      </c>
      <c r="S332" t="s">
        <v>43</v>
      </c>
      <c r="T332">
        <v>3.8</v>
      </c>
    </row>
    <row r="333" spans="1:20">
      <c r="A333" t="s">
        <v>401</v>
      </c>
      <c r="B333" s="3">
        <v>45526</v>
      </c>
      <c r="C333" t="s">
        <v>19</v>
      </c>
      <c r="D333" t="s">
        <v>32</v>
      </c>
      <c r="E333" t="s">
        <v>68</v>
      </c>
      <c r="F333" t="s">
        <v>22</v>
      </c>
      <c r="G333" t="s">
        <v>33</v>
      </c>
      <c r="H333">
        <v>23</v>
      </c>
      <c r="I333">
        <v>1040.57</v>
      </c>
      <c r="J333">
        <v>674.74</v>
      </c>
      <c r="K333">
        <f t="shared" si="30"/>
        <v>23933.109999999997</v>
      </c>
      <c r="L333">
        <v>0.1</v>
      </c>
      <c r="M333">
        <f t="shared" si="31"/>
        <v>2393.3109999999997</v>
      </c>
      <c r="N333">
        <f t="shared" si="32"/>
        <v>21539.798999999999</v>
      </c>
      <c r="O333">
        <f t="shared" si="33"/>
        <v>15519.02</v>
      </c>
      <c r="P333">
        <f t="shared" si="34"/>
        <v>6020.7789999999986</v>
      </c>
      <c r="Q333">
        <f t="shared" si="35"/>
        <v>27.951881073727748</v>
      </c>
      <c r="R333" t="s">
        <v>49</v>
      </c>
      <c r="S333" t="s">
        <v>45</v>
      </c>
      <c r="T333">
        <v>3.5</v>
      </c>
    </row>
    <row r="334" spans="1:20">
      <c r="A334" t="s">
        <v>402</v>
      </c>
      <c r="B334" s="3">
        <v>45526</v>
      </c>
      <c r="C334" t="s">
        <v>19</v>
      </c>
      <c r="D334" t="s">
        <v>28</v>
      </c>
      <c r="E334" t="s">
        <v>68</v>
      </c>
      <c r="F334" t="s">
        <v>23</v>
      </c>
      <c r="G334" t="s">
        <v>38</v>
      </c>
      <c r="H334">
        <v>43</v>
      </c>
      <c r="I334">
        <v>744.14</v>
      </c>
      <c r="J334">
        <v>630.91</v>
      </c>
      <c r="K334">
        <f t="shared" si="30"/>
        <v>31998.02</v>
      </c>
      <c r="L334">
        <v>0</v>
      </c>
      <c r="M334">
        <f t="shared" si="31"/>
        <v>0</v>
      </c>
      <c r="N334">
        <f t="shared" si="32"/>
        <v>31998.02</v>
      </c>
      <c r="O334">
        <f t="shared" si="33"/>
        <v>27129.129999999997</v>
      </c>
      <c r="P334">
        <f t="shared" si="34"/>
        <v>4868.8900000000031</v>
      </c>
      <c r="Q334">
        <f t="shared" si="35"/>
        <v>15.216222753782899</v>
      </c>
      <c r="R334" t="s">
        <v>50</v>
      </c>
      <c r="S334" t="s">
        <v>41</v>
      </c>
      <c r="T334">
        <v>3.4</v>
      </c>
    </row>
    <row r="335" spans="1:20">
      <c r="A335" t="s">
        <v>403</v>
      </c>
      <c r="B335" s="3">
        <v>45526</v>
      </c>
      <c r="C335" t="s">
        <v>19</v>
      </c>
      <c r="D335" t="s">
        <v>32</v>
      </c>
      <c r="E335" t="s">
        <v>70</v>
      </c>
      <c r="F335" t="s">
        <v>23</v>
      </c>
      <c r="G335" t="s">
        <v>37</v>
      </c>
      <c r="H335">
        <v>20</v>
      </c>
      <c r="I335">
        <v>287.33</v>
      </c>
      <c r="J335">
        <v>239.23</v>
      </c>
      <c r="K335">
        <f t="shared" si="30"/>
        <v>5746.5999999999995</v>
      </c>
      <c r="L335">
        <v>0.25</v>
      </c>
      <c r="M335">
        <f t="shared" si="31"/>
        <v>1436.6499999999999</v>
      </c>
      <c r="N335">
        <f t="shared" si="32"/>
        <v>4309.95</v>
      </c>
      <c r="O335">
        <f t="shared" si="33"/>
        <v>4784.5999999999995</v>
      </c>
      <c r="P335">
        <f t="shared" si="34"/>
        <v>-474.64999999999964</v>
      </c>
      <c r="Q335">
        <f t="shared" si="35"/>
        <v>-11.012888780612295</v>
      </c>
      <c r="R335" t="s">
        <v>50</v>
      </c>
      <c r="S335" t="s">
        <v>41</v>
      </c>
      <c r="T335">
        <v>3.4</v>
      </c>
    </row>
    <row r="336" spans="1:20">
      <c r="A336" t="s">
        <v>404</v>
      </c>
      <c r="B336" s="3">
        <v>45528</v>
      </c>
      <c r="C336" t="s">
        <v>19</v>
      </c>
      <c r="D336" t="s">
        <v>32</v>
      </c>
      <c r="E336" t="s">
        <v>68</v>
      </c>
      <c r="F336" t="s">
        <v>20</v>
      </c>
      <c r="G336" t="s">
        <v>34</v>
      </c>
      <c r="H336">
        <v>37</v>
      </c>
      <c r="I336">
        <v>226.83</v>
      </c>
      <c r="J336">
        <v>133.49</v>
      </c>
      <c r="K336">
        <f t="shared" si="30"/>
        <v>8392.7100000000009</v>
      </c>
      <c r="L336">
        <v>0.25</v>
      </c>
      <c r="M336">
        <f t="shared" si="31"/>
        <v>2098.1775000000002</v>
      </c>
      <c r="N336">
        <f t="shared" si="32"/>
        <v>6294.5325000000012</v>
      </c>
      <c r="O336">
        <f t="shared" si="33"/>
        <v>4939.13</v>
      </c>
      <c r="P336">
        <f t="shared" si="34"/>
        <v>1355.4025000000011</v>
      </c>
      <c r="Q336">
        <f t="shared" si="35"/>
        <v>21.533012975943819</v>
      </c>
      <c r="R336" t="s">
        <v>49</v>
      </c>
      <c r="S336" t="s">
        <v>47</v>
      </c>
      <c r="T336">
        <v>3.9</v>
      </c>
    </row>
    <row r="337" spans="1:20">
      <c r="A337" t="s">
        <v>405</v>
      </c>
      <c r="B337" s="3">
        <v>45528</v>
      </c>
      <c r="C337" t="s">
        <v>19</v>
      </c>
      <c r="D337" t="s">
        <v>32</v>
      </c>
      <c r="E337" t="s">
        <v>68</v>
      </c>
      <c r="F337" t="s">
        <v>23</v>
      </c>
      <c r="G337" t="s">
        <v>38</v>
      </c>
      <c r="H337">
        <v>19</v>
      </c>
      <c r="I337">
        <v>1140.4100000000001</v>
      </c>
      <c r="J337">
        <v>962.38</v>
      </c>
      <c r="K337">
        <f t="shared" si="30"/>
        <v>21667.79</v>
      </c>
      <c r="L337">
        <v>0.1</v>
      </c>
      <c r="M337">
        <f t="shared" si="31"/>
        <v>2166.779</v>
      </c>
      <c r="N337">
        <f t="shared" si="32"/>
        <v>19501.011000000002</v>
      </c>
      <c r="O337">
        <f t="shared" si="33"/>
        <v>18285.22</v>
      </c>
      <c r="P337">
        <f t="shared" si="34"/>
        <v>1215.7910000000011</v>
      </c>
      <c r="Q337">
        <f t="shared" si="35"/>
        <v>6.2345024060547471</v>
      </c>
      <c r="R337" t="s">
        <v>49</v>
      </c>
      <c r="S337" t="s">
        <v>45</v>
      </c>
      <c r="T337">
        <v>3.9</v>
      </c>
    </row>
    <row r="338" spans="1:20">
      <c r="A338" t="s">
        <v>406</v>
      </c>
      <c r="B338" s="3">
        <v>45529</v>
      </c>
      <c r="C338" t="s">
        <v>19</v>
      </c>
      <c r="D338" t="s">
        <v>32</v>
      </c>
      <c r="E338" t="s">
        <v>68</v>
      </c>
      <c r="F338" t="s">
        <v>24</v>
      </c>
      <c r="G338" t="s">
        <v>40</v>
      </c>
      <c r="H338">
        <v>9</v>
      </c>
      <c r="I338">
        <v>429.88</v>
      </c>
      <c r="J338">
        <v>227.37</v>
      </c>
      <c r="K338">
        <f t="shared" si="30"/>
        <v>3868.92</v>
      </c>
      <c r="L338">
        <v>0</v>
      </c>
      <c r="M338">
        <f t="shared" si="31"/>
        <v>0</v>
      </c>
      <c r="N338">
        <f t="shared" si="32"/>
        <v>3868.92</v>
      </c>
      <c r="O338">
        <f t="shared" si="33"/>
        <v>2046.33</v>
      </c>
      <c r="P338">
        <f t="shared" si="34"/>
        <v>1822.5900000000001</v>
      </c>
      <c r="Q338">
        <f t="shared" si="35"/>
        <v>47.108495394063461</v>
      </c>
      <c r="R338" t="s">
        <v>49</v>
      </c>
      <c r="S338" t="s">
        <v>47</v>
      </c>
      <c r="T338">
        <v>3.5</v>
      </c>
    </row>
    <row r="339" spans="1:20">
      <c r="A339" t="s">
        <v>407</v>
      </c>
      <c r="B339" s="3">
        <v>45530</v>
      </c>
      <c r="C339" t="s">
        <v>19</v>
      </c>
      <c r="D339" t="s">
        <v>32</v>
      </c>
      <c r="E339" t="s">
        <v>86</v>
      </c>
      <c r="F339" t="s">
        <v>24</v>
      </c>
      <c r="G339" t="s">
        <v>46</v>
      </c>
      <c r="H339">
        <v>49</v>
      </c>
      <c r="I339">
        <v>921.98</v>
      </c>
      <c r="J339">
        <v>515.63</v>
      </c>
      <c r="K339">
        <f t="shared" si="30"/>
        <v>45177.020000000004</v>
      </c>
      <c r="L339">
        <v>0.1</v>
      </c>
      <c r="M339">
        <f t="shared" si="31"/>
        <v>4517.7020000000002</v>
      </c>
      <c r="N339">
        <f t="shared" si="32"/>
        <v>40659.318000000007</v>
      </c>
      <c r="O339">
        <f t="shared" si="33"/>
        <v>25265.87</v>
      </c>
      <c r="P339">
        <f t="shared" si="34"/>
        <v>15393.448000000008</v>
      </c>
      <c r="Q339">
        <f t="shared" si="35"/>
        <v>37.859582396340258</v>
      </c>
      <c r="R339" t="s">
        <v>49</v>
      </c>
      <c r="S339" t="s">
        <v>45</v>
      </c>
      <c r="T339">
        <v>3.7</v>
      </c>
    </row>
    <row r="340" spans="1:20">
      <c r="A340" t="s">
        <v>408</v>
      </c>
      <c r="B340" s="3">
        <v>45531</v>
      </c>
      <c r="C340" t="s">
        <v>19</v>
      </c>
      <c r="D340" t="s">
        <v>28</v>
      </c>
      <c r="E340" t="s">
        <v>68</v>
      </c>
      <c r="F340" t="s">
        <v>22</v>
      </c>
      <c r="G340" t="s">
        <v>33</v>
      </c>
      <c r="H340">
        <v>4</v>
      </c>
      <c r="I340">
        <v>1041.1400000000001</v>
      </c>
      <c r="J340">
        <v>734.18</v>
      </c>
      <c r="K340">
        <f t="shared" si="30"/>
        <v>4164.5600000000004</v>
      </c>
      <c r="L340">
        <v>0</v>
      </c>
      <c r="M340">
        <f t="shared" si="31"/>
        <v>0</v>
      </c>
      <c r="N340">
        <f t="shared" si="32"/>
        <v>4164.5600000000004</v>
      </c>
      <c r="O340">
        <f t="shared" si="33"/>
        <v>2936.72</v>
      </c>
      <c r="P340">
        <f t="shared" si="34"/>
        <v>1227.8400000000006</v>
      </c>
      <c r="Q340">
        <f t="shared" si="35"/>
        <v>29.483066638492435</v>
      </c>
      <c r="R340" t="s">
        <v>49</v>
      </c>
      <c r="S340" t="s">
        <v>43</v>
      </c>
      <c r="T340">
        <v>3.4</v>
      </c>
    </row>
    <row r="341" spans="1:20">
      <c r="A341" t="s">
        <v>409</v>
      </c>
      <c r="B341" s="3">
        <v>45532</v>
      </c>
      <c r="C341" t="s">
        <v>19</v>
      </c>
      <c r="D341" t="s">
        <v>28</v>
      </c>
      <c r="E341" t="s">
        <v>68</v>
      </c>
      <c r="F341" t="s">
        <v>20</v>
      </c>
      <c r="G341" t="s">
        <v>31</v>
      </c>
      <c r="H341">
        <v>38</v>
      </c>
      <c r="I341">
        <v>1438.27</v>
      </c>
      <c r="J341">
        <v>827.78</v>
      </c>
      <c r="K341">
        <f t="shared" si="30"/>
        <v>54654.26</v>
      </c>
      <c r="L341">
        <v>0</v>
      </c>
      <c r="M341">
        <f t="shared" si="31"/>
        <v>0</v>
      </c>
      <c r="N341">
        <f t="shared" si="32"/>
        <v>54654.26</v>
      </c>
      <c r="O341">
        <f t="shared" si="33"/>
        <v>31455.64</v>
      </c>
      <c r="P341">
        <f t="shared" si="34"/>
        <v>23198.620000000003</v>
      </c>
      <c r="Q341">
        <f t="shared" si="35"/>
        <v>42.446133201693705</v>
      </c>
      <c r="R341" t="s">
        <v>49</v>
      </c>
      <c r="S341" t="s">
        <v>43</v>
      </c>
      <c r="T341">
        <v>3.9</v>
      </c>
    </row>
    <row r="342" spans="1:20">
      <c r="A342" t="s">
        <v>410</v>
      </c>
      <c r="B342" s="3">
        <v>45532</v>
      </c>
      <c r="C342" t="s">
        <v>19</v>
      </c>
      <c r="D342" t="s">
        <v>32</v>
      </c>
      <c r="E342" t="s">
        <v>68</v>
      </c>
      <c r="F342" t="s">
        <v>22</v>
      </c>
      <c r="G342" t="s">
        <v>33</v>
      </c>
      <c r="H342">
        <v>10</v>
      </c>
      <c r="I342">
        <v>98.75</v>
      </c>
      <c r="J342">
        <v>69.290000000000006</v>
      </c>
      <c r="K342">
        <f t="shared" si="30"/>
        <v>987.5</v>
      </c>
      <c r="L342">
        <v>0</v>
      </c>
      <c r="M342">
        <f t="shared" si="31"/>
        <v>0</v>
      </c>
      <c r="N342">
        <f t="shared" si="32"/>
        <v>987.5</v>
      </c>
      <c r="O342">
        <f t="shared" si="33"/>
        <v>692.90000000000009</v>
      </c>
      <c r="P342">
        <f t="shared" si="34"/>
        <v>294.59999999999991</v>
      </c>
      <c r="Q342">
        <f t="shared" si="35"/>
        <v>29.832911392405055</v>
      </c>
      <c r="R342" t="s">
        <v>50</v>
      </c>
      <c r="S342" t="s">
        <v>47</v>
      </c>
      <c r="T342">
        <v>3.8</v>
      </c>
    </row>
    <row r="343" spans="1:20">
      <c r="A343" t="s">
        <v>411</v>
      </c>
      <c r="B343" s="3">
        <v>45532</v>
      </c>
      <c r="C343" t="s">
        <v>19</v>
      </c>
      <c r="D343" t="s">
        <v>30</v>
      </c>
      <c r="E343" t="s">
        <v>68</v>
      </c>
      <c r="F343" t="s">
        <v>24</v>
      </c>
      <c r="G343" t="s">
        <v>46</v>
      </c>
      <c r="H343">
        <v>15</v>
      </c>
      <c r="I343">
        <v>371.74</v>
      </c>
      <c r="J343">
        <v>225.02</v>
      </c>
      <c r="K343">
        <f t="shared" si="30"/>
        <v>5576.1</v>
      </c>
      <c r="L343">
        <v>0.05</v>
      </c>
      <c r="M343">
        <f t="shared" si="31"/>
        <v>278.80500000000001</v>
      </c>
      <c r="N343">
        <f t="shared" si="32"/>
        <v>5297.2950000000001</v>
      </c>
      <c r="O343">
        <f t="shared" si="33"/>
        <v>3375.3</v>
      </c>
      <c r="P343">
        <f t="shared" si="34"/>
        <v>1921.9949999999999</v>
      </c>
      <c r="Q343">
        <f t="shared" si="35"/>
        <v>36.282574408259308</v>
      </c>
      <c r="R343" t="s">
        <v>49</v>
      </c>
      <c r="S343" t="s">
        <v>43</v>
      </c>
      <c r="T343">
        <v>3.6</v>
      </c>
    </row>
    <row r="344" spans="1:20">
      <c r="A344" t="s">
        <v>412</v>
      </c>
      <c r="B344" s="3">
        <v>45533</v>
      </c>
      <c r="C344" t="s">
        <v>19</v>
      </c>
      <c r="D344" t="s">
        <v>32</v>
      </c>
      <c r="E344" t="s">
        <v>70</v>
      </c>
      <c r="F344" t="s">
        <v>22</v>
      </c>
      <c r="G344" t="s">
        <v>35</v>
      </c>
      <c r="H344">
        <v>10</v>
      </c>
      <c r="I344">
        <v>191.4</v>
      </c>
      <c r="J344">
        <v>146.49</v>
      </c>
      <c r="K344">
        <f t="shared" si="30"/>
        <v>1914</v>
      </c>
      <c r="L344">
        <v>0.2</v>
      </c>
      <c r="M344">
        <f t="shared" si="31"/>
        <v>382.8</v>
      </c>
      <c r="N344">
        <f t="shared" si="32"/>
        <v>1531.2</v>
      </c>
      <c r="O344">
        <f t="shared" si="33"/>
        <v>1464.9</v>
      </c>
      <c r="P344">
        <f t="shared" si="34"/>
        <v>66.299999999999955</v>
      </c>
      <c r="Q344">
        <f t="shared" si="35"/>
        <v>4.3299373040752318</v>
      </c>
      <c r="R344" t="s">
        <v>49</v>
      </c>
      <c r="S344" t="s">
        <v>43</v>
      </c>
      <c r="T344">
        <v>3.7</v>
      </c>
    </row>
    <row r="345" spans="1:20">
      <c r="A345" t="s">
        <v>413</v>
      </c>
      <c r="B345" s="3">
        <v>45534</v>
      </c>
      <c r="C345" t="s">
        <v>19</v>
      </c>
      <c r="D345" t="s">
        <v>32</v>
      </c>
      <c r="E345" t="s">
        <v>70</v>
      </c>
      <c r="F345" t="s">
        <v>24</v>
      </c>
      <c r="G345" t="s">
        <v>46</v>
      </c>
      <c r="H345">
        <v>11</v>
      </c>
      <c r="I345">
        <v>743.78</v>
      </c>
      <c r="J345">
        <v>456.11</v>
      </c>
      <c r="K345">
        <f t="shared" si="30"/>
        <v>8181.58</v>
      </c>
      <c r="L345">
        <v>0.1</v>
      </c>
      <c r="M345">
        <f t="shared" si="31"/>
        <v>818.15800000000002</v>
      </c>
      <c r="N345">
        <f t="shared" si="32"/>
        <v>7363.4219999999996</v>
      </c>
      <c r="O345">
        <f t="shared" si="33"/>
        <v>5017.21</v>
      </c>
      <c r="P345">
        <f t="shared" si="34"/>
        <v>2346.2119999999995</v>
      </c>
      <c r="Q345">
        <f t="shared" si="35"/>
        <v>31.863065840854965</v>
      </c>
      <c r="R345" t="s">
        <v>49</v>
      </c>
      <c r="S345" t="s">
        <v>41</v>
      </c>
      <c r="T345">
        <v>3</v>
      </c>
    </row>
    <row r="346" spans="1:20">
      <c r="A346" t="s">
        <v>414</v>
      </c>
      <c r="B346" s="3">
        <v>45534</v>
      </c>
      <c r="C346" t="s">
        <v>19</v>
      </c>
      <c r="D346" t="s">
        <v>30</v>
      </c>
      <c r="E346" t="s">
        <v>68</v>
      </c>
      <c r="F346" t="s">
        <v>22</v>
      </c>
      <c r="G346" t="s">
        <v>35</v>
      </c>
      <c r="H346">
        <v>14</v>
      </c>
      <c r="I346">
        <v>555.54</v>
      </c>
      <c r="J346">
        <v>400.15</v>
      </c>
      <c r="K346">
        <f t="shared" si="30"/>
        <v>7777.5599999999995</v>
      </c>
      <c r="L346">
        <v>0.1</v>
      </c>
      <c r="M346">
        <f t="shared" si="31"/>
        <v>777.75599999999997</v>
      </c>
      <c r="N346">
        <f t="shared" si="32"/>
        <v>6999.8039999999992</v>
      </c>
      <c r="O346">
        <f t="shared" si="33"/>
        <v>5602.0999999999995</v>
      </c>
      <c r="P346">
        <f t="shared" si="34"/>
        <v>1397.7039999999997</v>
      </c>
      <c r="Q346">
        <f t="shared" si="35"/>
        <v>19.967759097254721</v>
      </c>
      <c r="R346" t="s">
        <v>51</v>
      </c>
      <c r="S346" t="s">
        <v>43</v>
      </c>
      <c r="T346">
        <v>4.7</v>
      </c>
    </row>
    <row r="347" spans="1:20">
      <c r="A347" t="s">
        <v>415</v>
      </c>
      <c r="B347" s="3">
        <v>45536</v>
      </c>
      <c r="C347" t="s">
        <v>19</v>
      </c>
      <c r="D347" t="s">
        <v>26</v>
      </c>
      <c r="E347" t="s">
        <v>68</v>
      </c>
      <c r="F347" t="s">
        <v>23</v>
      </c>
      <c r="G347" t="s">
        <v>38</v>
      </c>
      <c r="H347">
        <v>45</v>
      </c>
      <c r="I347">
        <v>871.97</v>
      </c>
      <c r="J347">
        <v>660.62</v>
      </c>
      <c r="K347">
        <f t="shared" si="30"/>
        <v>39238.65</v>
      </c>
      <c r="L347">
        <v>0.05</v>
      </c>
      <c r="M347">
        <f t="shared" si="31"/>
        <v>1961.9325000000001</v>
      </c>
      <c r="N347">
        <f t="shared" si="32"/>
        <v>37276.717499999999</v>
      </c>
      <c r="O347">
        <f t="shared" si="33"/>
        <v>29727.9</v>
      </c>
      <c r="P347">
        <f t="shared" si="34"/>
        <v>7548.8174999999974</v>
      </c>
      <c r="Q347">
        <f t="shared" si="35"/>
        <v>20.250757057672789</v>
      </c>
      <c r="R347" t="s">
        <v>50</v>
      </c>
      <c r="S347" t="s">
        <v>45</v>
      </c>
      <c r="T347">
        <v>4.0999999999999996</v>
      </c>
    </row>
    <row r="348" spans="1:20">
      <c r="A348" t="s">
        <v>416</v>
      </c>
      <c r="B348" s="3">
        <v>45537</v>
      </c>
      <c r="C348" t="s">
        <v>19</v>
      </c>
      <c r="D348" t="s">
        <v>32</v>
      </c>
      <c r="E348" t="s">
        <v>70</v>
      </c>
      <c r="F348" t="s">
        <v>23</v>
      </c>
      <c r="G348" t="s">
        <v>38</v>
      </c>
      <c r="H348">
        <v>21</v>
      </c>
      <c r="I348">
        <v>122.74</v>
      </c>
      <c r="J348">
        <v>92.64</v>
      </c>
      <c r="K348">
        <f t="shared" si="30"/>
        <v>2577.54</v>
      </c>
      <c r="L348">
        <v>0</v>
      </c>
      <c r="M348">
        <f t="shared" si="31"/>
        <v>0</v>
      </c>
      <c r="N348">
        <f t="shared" si="32"/>
        <v>2577.54</v>
      </c>
      <c r="O348">
        <f t="shared" si="33"/>
        <v>1945.44</v>
      </c>
      <c r="P348">
        <f t="shared" si="34"/>
        <v>632.09999999999991</v>
      </c>
      <c r="Q348">
        <f t="shared" si="35"/>
        <v>24.523382760306337</v>
      </c>
      <c r="R348" t="s">
        <v>50</v>
      </c>
      <c r="S348" t="s">
        <v>41</v>
      </c>
      <c r="T348">
        <v>3</v>
      </c>
    </row>
    <row r="349" spans="1:20">
      <c r="A349" t="s">
        <v>417</v>
      </c>
      <c r="B349" s="3">
        <v>45537</v>
      </c>
      <c r="C349" t="s">
        <v>19</v>
      </c>
      <c r="D349" t="s">
        <v>32</v>
      </c>
      <c r="E349" t="s">
        <v>68</v>
      </c>
      <c r="F349" t="s">
        <v>24</v>
      </c>
      <c r="G349" t="s">
        <v>40</v>
      </c>
      <c r="H349">
        <v>19</v>
      </c>
      <c r="I349">
        <v>135.9</v>
      </c>
      <c r="J349">
        <v>93.9</v>
      </c>
      <c r="K349">
        <f t="shared" si="30"/>
        <v>2582.1</v>
      </c>
      <c r="L349">
        <v>0</v>
      </c>
      <c r="M349">
        <f t="shared" si="31"/>
        <v>0</v>
      </c>
      <c r="N349">
        <f t="shared" si="32"/>
        <v>2582.1</v>
      </c>
      <c r="O349">
        <f t="shared" si="33"/>
        <v>1784.1000000000001</v>
      </c>
      <c r="P349">
        <f t="shared" si="34"/>
        <v>797.99999999999977</v>
      </c>
      <c r="Q349">
        <f t="shared" si="35"/>
        <v>30.905077262693148</v>
      </c>
      <c r="R349" t="s">
        <v>49</v>
      </c>
      <c r="S349" t="s">
        <v>41</v>
      </c>
      <c r="T349">
        <v>4.2</v>
      </c>
    </row>
    <row r="350" spans="1:20">
      <c r="A350" t="s">
        <v>418</v>
      </c>
      <c r="B350" s="3">
        <v>45539</v>
      </c>
      <c r="C350" t="s">
        <v>19</v>
      </c>
      <c r="D350" t="s">
        <v>28</v>
      </c>
      <c r="E350" t="s">
        <v>70</v>
      </c>
      <c r="F350" t="s">
        <v>22</v>
      </c>
      <c r="G350" t="s">
        <v>35</v>
      </c>
      <c r="H350">
        <v>48</v>
      </c>
      <c r="I350">
        <v>592.98</v>
      </c>
      <c r="J350">
        <v>429.96</v>
      </c>
      <c r="K350">
        <f t="shared" si="30"/>
        <v>28463.040000000001</v>
      </c>
      <c r="L350">
        <v>0.25</v>
      </c>
      <c r="M350">
        <f t="shared" si="31"/>
        <v>7115.76</v>
      </c>
      <c r="N350">
        <f t="shared" si="32"/>
        <v>21347.279999999999</v>
      </c>
      <c r="O350">
        <f t="shared" si="33"/>
        <v>20638.079999999998</v>
      </c>
      <c r="P350">
        <f t="shared" si="34"/>
        <v>709.20000000000073</v>
      </c>
      <c r="Q350">
        <f t="shared" si="35"/>
        <v>3.3222031097170266</v>
      </c>
      <c r="R350" t="s">
        <v>50</v>
      </c>
      <c r="S350" t="s">
        <v>41</v>
      </c>
      <c r="T350">
        <v>4.4000000000000004</v>
      </c>
    </row>
    <row r="351" spans="1:20">
      <c r="A351" t="s">
        <v>419</v>
      </c>
      <c r="B351" s="3">
        <v>45539</v>
      </c>
      <c r="C351" t="s">
        <v>19</v>
      </c>
      <c r="D351" t="s">
        <v>28</v>
      </c>
      <c r="E351" t="s">
        <v>70</v>
      </c>
      <c r="F351" t="s">
        <v>20</v>
      </c>
      <c r="G351" t="s">
        <v>34</v>
      </c>
      <c r="H351">
        <v>38</v>
      </c>
      <c r="I351">
        <v>886.3</v>
      </c>
      <c r="J351">
        <v>393.11</v>
      </c>
      <c r="K351">
        <f t="shared" si="30"/>
        <v>33679.4</v>
      </c>
      <c r="L351">
        <v>0</v>
      </c>
      <c r="M351">
        <f t="shared" si="31"/>
        <v>0</v>
      </c>
      <c r="N351">
        <f t="shared" si="32"/>
        <v>33679.4</v>
      </c>
      <c r="O351">
        <f t="shared" si="33"/>
        <v>14938.18</v>
      </c>
      <c r="P351">
        <f t="shared" si="34"/>
        <v>18741.22</v>
      </c>
      <c r="Q351">
        <f t="shared" si="35"/>
        <v>55.645943811350563</v>
      </c>
      <c r="R351" t="s">
        <v>49</v>
      </c>
      <c r="S351" t="s">
        <v>41</v>
      </c>
      <c r="T351">
        <v>3.1</v>
      </c>
    </row>
    <row r="352" spans="1:20">
      <c r="A352" t="s">
        <v>420</v>
      </c>
      <c r="B352" s="3">
        <v>45542</v>
      </c>
      <c r="C352" t="s">
        <v>19</v>
      </c>
      <c r="D352" t="s">
        <v>26</v>
      </c>
      <c r="E352" t="s">
        <v>70</v>
      </c>
      <c r="F352" t="s">
        <v>23</v>
      </c>
      <c r="G352" t="s">
        <v>37</v>
      </c>
      <c r="H352">
        <v>6</v>
      </c>
      <c r="I352">
        <v>1131.94</v>
      </c>
      <c r="J352">
        <v>876.72</v>
      </c>
      <c r="K352">
        <f t="shared" si="30"/>
        <v>6791.64</v>
      </c>
      <c r="L352">
        <v>0.2</v>
      </c>
      <c r="M352">
        <f t="shared" si="31"/>
        <v>1358.3280000000002</v>
      </c>
      <c r="N352">
        <f t="shared" si="32"/>
        <v>5433.3119999999999</v>
      </c>
      <c r="O352">
        <f t="shared" si="33"/>
        <v>5260.32</v>
      </c>
      <c r="P352">
        <f t="shared" si="34"/>
        <v>172.99200000000019</v>
      </c>
      <c r="Q352">
        <f t="shared" si="35"/>
        <v>3.1839143417495661</v>
      </c>
      <c r="R352" t="s">
        <v>50</v>
      </c>
      <c r="S352" t="s">
        <v>41</v>
      </c>
      <c r="T352">
        <v>4.9000000000000004</v>
      </c>
    </row>
    <row r="353" spans="1:20">
      <c r="A353" t="s">
        <v>421</v>
      </c>
      <c r="B353" s="3">
        <v>45542</v>
      </c>
      <c r="C353" t="s">
        <v>19</v>
      </c>
      <c r="D353" t="s">
        <v>30</v>
      </c>
      <c r="E353" t="s">
        <v>68</v>
      </c>
      <c r="F353" t="s">
        <v>22</v>
      </c>
      <c r="G353" t="s">
        <v>42</v>
      </c>
      <c r="H353">
        <v>8</v>
      </c>
      <c r="I353">
        <v>617.63</v>
      </c>
      <c r="J353">
        <v>388.31</v>
      </c>
      <c r="K353">
        <f t="shared" si="30"/>
        <v>4941.04</v>
      </c>
      <c r="L353">
        <v>0.05</v>
      </c>
      <c r="M353">
        <f t="shared" si="31"/>
        <v>247.05200000000002</v>
      </c>
      <c r="N353">
        <f t="shared" si="32"/>
        <v>4693.9880000000003</v>
      </c>
      <c r="O353">
        <f t="shared" si="33"/>
        <v>3106.48</v>
      </c>
      <c r="P353">
        <f t="shared" si="34"/>
        <v>1587.5080000000003</v>
      </c>
      <c r="Q353">
        <f t="shared" si="35"/>
        <v>33.820026808760481</v>
      </c>
      <c r="R353" t="s">
        <v>51</v>
      </c>
      <c r="S353" t="s">
        <v>41</v>
      </c>
      <c r="T353">
        <v>3.5</v>
      </c>
    </row>
    <row r="354" spans="1:20">
      <c r="A354" t="s">
        <v>422</v>
      </c>
      <c r="B354" s="3">
        <v>45542</v>
      </c>
      <c r="C354" t="s">
        <v>19</v>
      </c>
      <c r="D354" t="s">
        <v>30</v>
      </c>
      <c r="E354" t="s">
        <v>68</v>
      </c>
      <c r="F354" t="s">
        <v>20</v>
      </c>
      <c r="G354" t="s">
        <v>31</v>
      </c>
      <c r="H354">
        <v>33</v>
      </c>
      <c r="I354">
        <v>1050.1400000000001</v>
      </c>
      <c r="J354">
        <v>457.15</v>
      </c>
      <c r="K354">
        <f t="shared" si="30"/>
        <v>34654.620000000003</v>
      </c>
      <c r="L354">
        <v>0.05</v>
      </c>
      <c r="M354">
        <f t="shared" si="31"/>
        <v>1732.7310000000002</v>
      </c>
      <c r="N354">
        <f t="shared" si="32"/>
        <v>32921.889000000003</v>
      </c>
      <c r="O354">
        <f t="shared" si="33"/>
        <v>15085.949999999999</v>
      </c>
      <c r="P354">
        <f t="shared" si="34"/>
        <v>17835.939000000006</v>
      </c>
      <c r="Q354">
        <f t="shared" si="35"/>
        <v>54.176535860381534</v>
      </c>
      <c r="R354" t="s">
        <v>50</v>
      </c>
      <c r="S354" t="s">
        <v>47</v>
      </c>
      <c r="T354">
        <v>3.9</v>
      </c>
    </row>
    <row r="355" spans="1:20">
      <c r="A355" t="s">
        <v>423</v>
      </c>
      <c r="B355" s="3">
        <v>45542</v>
      </c>
      <c r="C355" t="s">
        <v>19</v>
      </c>
      <c r="D355" t="s">
        <v>30</v>
      </c>
      <c r="E355" t="s">
        <v>86</v>
      </c>
      <c r="F355" t="s">
        <v>24</v>
      </c>
      <c r="G355" t="s">
        <v>29</v>
      </c>
      <c r="H355">
        <v>45</v>
      </c>
      <c r="I355">
        <v>821.81</v>
      </c>
      <c r="J355">
        <v>548.49</v>
      </c>
      <c r="K355">
        <f t="shared" si="30"/>
        <v>36981.449999999997</v>
      </c>
      <c r="L355">
        <v>0.1</v>
      </c>
      <c r="M355">
        <f t="shared" si="31"/>
        <v>3698.145</v>
      </c>
      <c r="N355">
        <f t="shared" si="32"/>
        <v>33283.305</v>
      </c>
      <c r="O355">
        <f t="shared" si="33"/>
        <v>24682.05</v>
      </c>
      <c r="P355">
        <f t="shared" si="34"/>
        <v>8601.255000000001</v>
      </c>
      <c r="Q355">
        <f t="shared" si="35"/>
        <v>25.842550792356711</v>
      </c>
      <c r="R355" t="s">
        <v>51</v>
      </c>
      <c r="S355" t="s">
        <v>43</v>
      </c>
      <c r="T355">
        <v>4.4000000000000004</v>
      </c>
    </row>
    <row r="356" spans="1:20">
      <c r="A356" t="s">
        <v>424</v>
      </c>
      <c r="B356" s="3">
        <v>45542</v>
      </c>
      <c r="C356" t="s">
        <v>19</v>
      </c>
      <c r="D356" t="s">
        <v>26</v>
      </c>
      <c r="E356" t="s">
        <v>68</v>
      </c>
      <c r="F356" t="s">
        <v>22</v>
      </c>
      <c r="G356" t="s">
        <v>35</v>
      </c>
      <c r="H356">
        <v>44</v>
      </c>
      <c r="I356">
        <v>81.63</v>
      </c>
      <c r="J356">
        <v>64.150000000000006</v>
      </c>
      <c r="K356">
        <f t="shared" si="30"/>
        <v>3591.72</v>
      </c>
      <c r="L356">
        <v>0.05</v>
      </c>
      <c r="M356">
        <f t="shared" si="31"/>
        <v>179.58600000000001</v>
      </c>
      <c r="N356">
        <f t="shared" si="32"/>
        <v>3412.134</v>
      </c>
      <c r="O356">
        <f t="shared" si="33"/>
        <v>2822.6000000000004</v>
      </c>
      <c r="P356">
        <f t="shared" si="34"/>
        <v>589.53399999999965</v>
      </c>
      <c r="Q356">
        <f t="shared" si="35"/>
        <v>17.277574679071797</v>
      </c>
      <c r="R356" t="s">
        <v>50</v>
      </c>
      <c r="S356" t="s">
        <v>41</v>
      </c>
      <c r="T356">
        <v>3.3</v>
      </c>
    </row>
    <row r="357" spans="1:20">
      <c r="A357" t="s">
        <v>425</v>
      </c>
      <c r="B357" s="3">
        <v>45543</v>
      </c>
      <c r="C357" t="s">
        <v>19</v>
      </c>
      <c r="D357" t="s">
        <v>26</v>
      </c>
      <c r="E357" t="s">
        <v>70</v>
      </c>
      <c r="F357" t="s">
        <v>23</v>
      </c>
      <c r="G357" t="s">
        <v>37</v>
      </c>
      <c r="H357">
        <v>40</v>
      </c>
      <c r="I357">
        <v>1131.8900000000001</v>
      </c>
      <c r="J357">
        <v>853.03</v>
      </c>
      <c r="K357">
        <f t="shared" si="30"/>
        <v>45275.600000000006</v>
      </c>
      <c r="L357">
        <v>0.2</v>
      </c>
      <c r="M357">
        <f t="shared" si="31"/>
        <v>9055.1200000000008</v>
      </c>
      <c r="N357">
        <f t="shared" si="32"/>
        <v>36220.480000000003</v>
      </c>
      <c r="O357">
        <f t="shared" si="33"/>
        <v>34121.199999999997</v>
      </c>
      <c r="P357">
        <f t="shared" si="34"/>
        <v>2099.2800000000061</v>
      </c>
      <c r="Q357">
        <f t="shared" si="35"/>
        <v>5.7958370513035877</v>
      </c>
      <c r="R357" t="s">
        <v>49</v>
      </c>
      <c r="S357" t="s">
        <v>41</v>
      </c>
      <c r="T357">
        <v>4.2</v>
      </c>
    </row>
    <row r="358" spans="1:20">
      <c r="A358" t="s">
        <v>426</v>
      </c>
      <c r="B358" s="3">
        <v>45544</v>
      </c>
      <c r="C358" t="s">
        <v>19</v>
      </c>
      <c r="D358" t="s">
        <v>28</v>
      </c>
      <c r="E358" t="s">
        <v>68</v>
      </c>
      <c r="F358" t="s">
        <v>20</v>
      </c>
      <c r="G358" t="s">
        <v>34</v>
      </c>
      <c r="H358">
        <v>46</v>
      </c>
      <c r="I358">
        <v>235.22</v>
      </c>
      <c r="J358">
        <v>139.57</v>
      </c>
      <c r="K358">
        <f t="shared" si="30"/>
        <v>10820.12</v>
      </c>
      <c r="L358">
        <v>0.2</v>
      </c>
      <c r="M358">
        <f t="shared" si="31"/>
        <v>2164.0240000000003</v>
      </c>
      <c r="N358">
        <f t="shared" si="32"/>
        <v>8656.0960000000014</v>
      </c>
      <c r="O358">
        <f t="shared" si="33"/>
        <v>6420.2199999999993</v>
      </c>
      <c r="P358">
        <f t="shared" si="34"/>
        <v>2235.876000000002</v>
      </c>
      <c r="Q358">
        <f t="shared" si="35"/>
        <v>25.830073973301609</v>
      </c>
      <c r="R358" t="s">
        <v>51</v>
      </c>
      <c r="S358" t="s">
        <v>43</v>
      </c>
      <c r="T358">
        <v>3.2</v>
      </c>
    </row>
    <row r="359" spans="1:20">
      <c r="A359" t="s">
        <v>427</v>
      </c>
      <c r="B359" s="3">
        <v>45544</v>
      </c>
      <c r="C359" t="s">
        <v>19</v>
      </c>
      <c r="D359" t="s">
        <v>26</v>
      </c>
      <c r="E359" t="s">
        <v>70</v>
      </c>
      <c r="F359" t="s">
        <v>23</v>
      </c>
      <c r="G359" t="s">
        <v>44</v>
      </c>
      <c r="H359">
        <v>35</v>
      </c>
      <c r="I359">
        <v>728.45</v>
      </c>
      <c r="J359">
        <v>555.17999999999995</v>
      </c>
      <c r="K359">
        <f t="shared" si="30"/>
        <v>25495.75</v>
      </c>
      <c r="L359">
        <v>0.05</v>
      </c>
      <c r="M359">
        <f t="shared" si="31"/>
        <v>1274.7875000000001</v>
      </c>
      <c r="N359">
        <f t="shared" si="32"/>
        <v>24220.962500000001</v>
      </c>
      <c r="O359">
        <f t="shared" si="33"/>
        <v>19431.3</v>
      </c>
      <c r="P359">
        <f t="shared" si="34"/>
        <v>4789.6625000000022</v>
      </c>
      <c r="Q359">
        <f t="shared" si="35"/>
        <v>19.774864438190686</v>
      </c>
      <c r="R359" t="s">
        <v>49</v>
      </c>
      <c r="S359" t="s">
        <v>41</v>
      </c>
      <c r="T359">
        <v>3.6</v>
      </c>
    </row>
    <row r="360" spans="1:20">
      <c r="A360" t="s">
        <v>428</v>
      </c>
      <c r="B360" s="3">
        <v>45545</v>
      </c>
      <c r="C360" t="s">
        <v>19</v>
      </c>
      <c r="D360" t="s">
        <v>28</v>
      </c>
      <c r="E360" t="s">
        <v>68</v>
      </c>
      <c r="F360" t="s">
        <v>20</v>
      </c>
      <c r="G360" t="s">
        <v>34</v>
      </c>
      <c r="H360">
        <v>9</v>
      </c>
      <c r="I360">
        <v>963.03</v>
      </c>
      <c r="J360">
        <v>351.45</v>
      </c>
      <c r="K360">
        <f t="shared" si="30"/>
        <v>8667.27</v>
      </c>
      <c r="L360">
        <v>0</v>
      </c>
      <c r="M360">
        <f t="shared" si="31"/>
        <v>0</v>
      </c>
      <c r="N360">
        <f t="shared" si="32"/>
        <v>8667.27</v>
      </c>
      <c r="O360">
        <f t="shared" si="33"/>
        <v>3163.0499999999997</v>
      </c>
      <c r="P360">
        <f t="shared" si="34"/>
        <v>5504.2200000000012</v>
      </c>
      <c r="Q360">
        <f t="shared" si="35"/>
        <v>63.505809787857082</v>
      </c>
      <c r="R360" t="s">
        <v>50</v>
      </c>
      <c r="S360" t="s">
        <v>45</v>
      </c>
      <c r="T360">
        <v>3.1</v>
      </c>
    </row>
    <row r="361" spans="1:20">
      <c r="A361" t="s">
        <v>429</v>
      </c>
      <c r="B361" s="3">
        <v>45545</v>
      </c>
      <c r="C361" t="s">
        <v>19</v>
      </c>
      <c r="D361" t="s">
        <v>26</v>
      </c>
      <c r="E361" t="s">
        <v>68</v>
      </c>
      <c r="F361" t="s">
        <v>23</v>
      </c>
      <c r="G361" t="s">
        <v>38</v>
      </c>
      <c r="H361">
        <v>2</v>
      </c>
      <c r="I361">
        <v>190.38</v>
      </c>
      <c r="J361">
        <v>145.38999999999999</v>
      </c>
      <c r="K361">
        <f t="shared" si="30"/>
        <v>380.76</v>
      </c>
      <c r="L361">
        <v>0.05</v>
      </c>
      <c r="M361">
        <f t="shared" si="31"/>
        <v>19.038</v>
      </c>
      <c r="N361">
        <f t="shared" si="32"/>
        <v>361.72199999999998</v>
      </c>
      <c r="O361">
        <f t="shared" si="33"/>
        <v>290.77999999999997</v>
      </c>
      <c r="P361">
        <f t="shared" si="34"/>
        <v>70.942000000000007</v>
      </c>
      <c r="Q361">
        <f t="shared" si="35"/>
        <v>19.612298947810753</v>
      </c>
      <c r="R361" t="s">
        <v>49</v>
      </c>
      <c r="S361" t="s">
        <v>43</v>
      </c>
      <c r="T361">
        <v>3.9</v>
      </c>
    </row>
    <row r="362" spans="1:20">
      <c r="A362" t="s">
        <v>430</v>
      </c>
      <c r="B362" s="3">
        <v>45546</v>
      </c>
      <c r="C362" t="s">
        <v>19</v>
      </c>
      <c r="D362" t="s">
        <v>30</v>
      </c>
      <c r="E362" t="s">
        <v>68</v>
      </c>
      <c r="F362" t="s">
        <v>23</v>
      </c>
      <c r="G362" t="s">
        <v>38</v>
      </c>
      <c r="H362">
        <v>29</v>
      </c>
      <c r="I362">
        <v>1499.98</v>
      </c>
      <c r="J362">
        <v>1187.6500000000001</v>
      </c>
      <c r="K362">
        <f t="shared" si="30"/>
        <v>43499.42</v>
      </c>
      <c r="L362">
        <v>0.2</v>
      </c>
      <c r="M362">
        <f t="shared" si="31"/>
        <v>8699.884</v>
      </c>
      <c r="N362">
        <f t="shared" si="32"/>
        <v>34799.536</v>
      </c>
      <c r="O362">
        <f t="shared" si="33"/>
        <v>34441.850000000006</v>
      </c>
      <c r="P362">
        <f t="shared" si="34"/>
        <v>357.68599999999424</v>
      </c>
      <c r="Q362">
        <f t="shared" si="35"/>
        <v>1.0278470379604896</v>
      </c>
      <c r="R362" t="s">
        <v>49</v>
      </c>
      <c r="S362" t="s">
        <v>45</v>
      </c>
      <c r="T362">
        <v>3.4</v>
      </c>
    </row>
    <row r="363" spans="1:20">
      <c r="A363" t="s">
        <v>431</v>
      </c>
      <c r="B363" s="3">
        <v>45548</v>
      </c>
      <c r="C363" t="s">
        <v>19</v>
      </c>
      <c r="D363" t="s">
        <v>32</v>
      </c>
      <c r="E363" t="s">
        <v>70</v>
      </c>
      <c r="F363" t="s">
        <v>23</v>
      </c>
      <c r="G363" t="s">
        <v>44</v>
      </c>
      <c r="H363">
        <v>28</v>
      </c>
      <c r="I363">
        <v>124.39</v>
      </c>
      <c r="J363">
        <v>93.73</v>
      </c>
      <c r="K363">
        <f t="shared" si="30"/>
        <v>3482.92</v>
      </c>
      <c r="L363">
        <v>0</v>
      </c>
      <c r="M363">
        <f t="shared" si="31"/>
        <v>0</v>
      </c>
      <c r="N363">
        <f t="shared" si="32"/>
        <v>3482.92</v>
      </c>
      <c r="O363">
        <f t="shared" si="33"/>
        <v>2624.44</v>
      </c>
      <c r="P363">
        <f t="shared" si="34"/>
        <v>858.48</v>
      </c>
      <c r="Q363">
        <f t="shared" si="35"/>
        <v>24.648283624085536</v>
      </c>
      <c r="R363" t="s">
        <v>49</v>
      </c>
      <c r="S363" t="s">
        <v>41</v>
      </c>
      <c r="T363">
        <v>4.8</v>
      </c>
    </row>
    <row r="364" spans="1:20">
      <c r="A364" t="s">
        <v>432</v>
      </c>
      <c r="B364" s="3">
        <v>45550</v>
      </c>
      <c r="C364" t="s">
        <v>19</v>
      </c>
      <c r="D364" t="s">
        <v>28</v>
      </c>
      <c r="E364" t="s">
        <v>70</v>
      </c>
      <c r="F364" t="s">
        <v>22</v>
      </c>
      <c r="G364" t="s">
        <v>33</v>
      </c>
      <c r="H364">
        <v>36</v>
      </c>
      <c r="I364">
        <v>866.1</v>
      </c>
      <c r="J364">
        <v>613.5</v>
      </c>
      <c r="K364">
        <f t="shared" si="30"/>
        <v>31179.600000000002</v>
      </c>
      <c r="L364">
        <v>0.1</v>
      </c>
      <c r="M364">
        <f t="shared" si="31"/>
        <v>3117.9600000000005</v>
      </c>
      <c r="N364">
        <f t="shared" si="32"/>
        <v>28061.640000000003</v>
      </c>
      <c r="O364">
        <f t="shared" si="33"/>
        <v>22086</v>
      </c>
      <c r="P364">
        <f t="shared" si="34"/>
        <v>5975.6400000000031</v>
      </c>
      <c r="Q364">
        <f t="shared" si="35"/>
        <v>21.294692683677798</v>
      </c>
      <c r="R364" t="s">
        <v>49</v>
      </c>
      <c r="S364" t="s">
        <v>43</v>
      </c>
      <c r="T364">
        <v>3.6</v>
      </c>
    </row>
    <row r="365" spans="1:20">
      <c r="A365" t="s">
        <v>433</v>
      </c>
      <c r="B365" s="3">
        <v>45551</v>
      </c>
      <c r="C365" t="s">
        <v>19</v>
      </c>
      <c r="D365" t="s">
        <v>30</v>
      </c>
      <c r="E365" t="s">
        <v>68</v>
      </c>
      <c r="F365" t="s">
        <v>23</v>
      </c>
      <c r="G365" t="s">
        <v>44</v>
      </c>
      <c r="H365">
        <v>6</v>
      </c>
      <c r="I365">
        <v>414.13</v>
      </c>
      <c r="J365">
        <v>318.12</v>
      </c>
      <c r="K365">
        <f t="shared" si="30"/>
        <v>2484.7799999999997</v>
      </c>
      <c r="L365">
        <v>0.1</v>
      </c>
      <c r="M365">
        <f t="shared" si="31"/>
        <v>248.47799999999998</v>
      </c>
      <c r="N365">
        <f t="shared" si="32"/>
        <v>2236.3019999999997</v>
      </c>
      <c r="O365">
        <f t="shared" si="33"/>
        <v>1908.72</v>
      </c>
      <c r="P365">
        <f t="shared" si="34"/>
        <v>327.58199999999965</v>
      </c>
      <c r="Q365">
        <f t="shared" si="35"/>
        <v>14.648379333381614</v>
      </c>
      <c r="R365" t="s">
        <v>49</v>
      </c>
      <c r="S365" t="s">
        <v>41</v>
      </c>
      <c r="T365">
        <v>3.4</v>
      </c>
    </row>
    <row r="366" spans="1:20">
      <c r="A366" t="s">
        <v>434</v>
      </c>
      <c r="B366" s="3">
        <v>45551</v>
      </c>
      <c r="C366" t="s">
        <v>19</v>
      </c>
      <c r="D366" t="s">
        <v>30</v>
      </c>
      <c r="E366" t="s">
        <v>68</v>
      </c>
      <c r="F366" t="s">
        <v>22</v>
      </c>
      <c r="G366" t="s">
        <v>42</v>
      </c>
      <c r="H366">
        <v>31</v>
      </c>
      <c r="I366">
        <v>183.09</v>
      </c>
      <c r="J366">
        <v>112</v>
      </c>
      <c r="K366">
        <f t="shared" si="30"/>
        <v>5675.79</v>
      </c>
      <c r="L366">
        <v>0.1</v>
      </c>
      <c r="M366">
        <f t="shared" si="31"/>
        <v>567.57900000000006</v>
      </c>
      <c r="N366">
        <f t="shared" si="32"/>
        <v>5108.2110000000002</v>
      </c>
      <c r="O366">
        <f t="shared" si="33"/>
        <v>3472</v>
      </c>
      <c r="P366">
        <f t="shared" si="34"/>
        <v>1636.2110000000002</v>
      </c>
      <c r="Q366">
        <f t="shared" si="35"/>
        <v>32.030998719512567</v>
      </c>
      <c r="R366" t="s">
        <v>50</v>
      </c>
      <c r="S366" t="s">
        <v>47</v>
      </c>
      <c r="T366">
        <v>3.1</v>
      </c>
    </row>
    <row r="367" spans="1:20">
      <c r="A367" t="s">
        <v>435</v>
      </c>
      <c r="B367" s="3">
        <v>45551</v>
      </c>
      <c r="C367" t="s">
        <v>19</v>
      </c>
      <c r="D367" t="s">
        <v>30</v>
      </c>
      <c r="E367" t="s">
        <v>70</v>
      </c>
      <c r="F367" t="s">
        <v>24</v>
      </c>
      <c r="G367" t="s">
        <v>40</v>
      </c>
      <c r="H367">
        <v>22</v>
      </c>
      <c r="I367">
        <v>546.36</v>
      </c>
      <c r="J367">
        <v>340.26</v>
      </c>
      <c r="K367">
        <f t="shared" si="30"/>
        <v>12019.92</v>
      </c>
      <c r="L367">
        <v>0</v>
      </c>
      <c r="M367">
        <f t="shared" si="31"/>
        <v>0</v>
      </c>
      <c r="N367">
        <f t="shared" si="32"/>
        <v>12019.92</v>
      </c>
      <c r="O367">
        <f t="shared" si="33"/>
        <v>7485.7199999999993</v>
      </c>
      <c r="P367">
        <f t="shared" si="34"/>
        <v>4534.2000000000007</v>
      </c>
      <c r="Q367">
        <f t="shared" si="35"/>
        <v>37.722380847792671</v>
      </c>
      <c r="R367" t="s">
        <v>49</v>
      </c>
      <c r="S367" t="s">
        <v>43</v>
      </c>
      <c r="T367">
        <v>3.3</v>
      </c>
    </row>
    <row r="368" spans="1:20">
      <c r="A368" t="s">
        <v>436</v>
      </c>
      <c r="B368" s="3">
        <v>45553</v>
      </c>
      <c r="C368" t="s">
        <v>19</v>
      </c>
      <c r="D368" t="s">
        <v>30</v>
      </c>
      <c r="E368" t="s">
        <v>68</v>
      </c>
      <c r="F368" t="s">
        <v>23</v>
      </c>
      <c r="G368" t="s">
        <v>44</v>
      </c>
      <c r="H368">
        <v>14</v>
      </c>
      <c r="I368">
        <v>184.3</v>
      </c>
      <c r="J368">
        <v>130.08000000000001</v>
      </c>
      <c r="K368">
        <f t="shared" si="30"/>
        <v>2580.2000000000003</v>
      </c>
      <c r="L368">
        <v>0.1</v>
      </c>
      <c r="M368">
        <f t="shared" si="31"/>
        <v>258.02000000000004</v>
      </c>
      <c r="N368">
        <f t="shared" si="32"/>
        <v>2322.1800000000003</v>
      </c>
      <c r="O368">
        <f t="shared" si="33"/>
        <v>1821.1200000000001</v>
      </c>
      <c r="P368">
        <f t="shared" si="34"/>
        <v>501.06000000000017</v>
      </c>
      <c r="Q368">
        <f t="shared" si="35"/>
        <v>21.577138723096407</v>
      </c>
      <c r="R368" t="s">
        <v>49</v>
      </c>
      <c r="S368" t="s">
        <v>41</v>
      </c>
      <c r="T368">
        <v>4.5999999999999996</v>
      </c>
    </row>
    <row r="369" spans="1:20">
      <c r="A369" t="s">
        <v>437</v>
      </c>
      <c r="B369" s="3">
        <v>45554</v>
      </c>
      <c r="C369" t="s">
        <v>19</v>
      </c>
      <c r="D369" t="s">
        <v>32</v>
      </c>
      <c r="E369" t="s">
        <v>68</v>
      </c>
      <c r="F369" t="s">
        <v>23</v>
      </c>
      <c r="G369" t="s">
        <v>44</v>
      </c>
      <c r="H369">
        <v>9</v>
      </c>
      <c r="I369">
        <v>942.57</v>
      </c>
      <c r="J369">
        <v>673.18</v>
      </c>
      <c r="K369">
        <f t="shared" si="30"/>
        <v>8483.130000000001</v>
      </c>
      <c r="L369">
        <v>0.2</v>
      </c>
      <c r="M369">
        <f t="shared" si="31"/>
        <v>1696.6260000000002</v>
      </c>
      <c r="N369">
        <f t="shared" si="32"/>
        <v>6786.5040000000008</v>
      </c>
      <c r="O369">
        <f t="shared" si="33"/>
        <v>6058.62</v>
      </c>
      <c r="P369">
        <f t="shared" si="34"/>
        <v>727.88400000000092</v>
      </c>
      <c r="Q369">
        <f t="shared" si="35"/>
        <v>10.72546336081141</v>
      </c>
      <c r="R369" t="s">
        <v>50</v>
      </c>
      <c r="S369" t="s">
        <v>41</v>
      </c>
      <c r="T369">
        <v>4.7</v>
      </c>
    </row>
    <row r="370" spans="1:20">
      <c r="A370" t="s">
        <v>438</v>
      </c>
      <c r="B370" s="3">
        <v>45554</v>
      </c>
      <c r="C370" t="s">
        <v>19</v>
      </c>
      <c r="D370" t="s">
        <v>28</v>
      </c>
      <c r="E370" t="s">
        <v>68</v>
      </c>
      <c r="F370" t="s">
        <v>24</v>
      </c>
      <c r="G370" t="s">
        <v>40</v>
      </c>
      <c r="H370">
        <v>38</v>
      </c>
      <c r="I370">
        <v>1112.51</v>
      </c>
      <c r="J370">
        <v>735.19</v>
      </c>
      <c r="K370">
        <f t="shared" si="30"/>
        <v>42275.38</v>
      </c>
      <c r="L370">
        <v>0</v>
      </c>
      <c r="M370">
        <f t="shared" si="31"/>
        <v>0</v>
      </c>
      <c r="N370">
        <f t="shared" si="32"/>
        <v>42275.38</v>
      </c>
      <c r="O370">
        <f t="shared" si="33"/>
        <v>27937.22</v>
      </c>
      <c r="P370">
        <f t="shared" si="34"/>
        <v>14338.159999999996</v>
      </c>
      <c r="Q370">
        <f t="shared" si="35"/>
        <v>33.916099630565114</v>
      </c>
      <c r="R370" t="s">
        <v>49</v>
      </c>
      <c r="S370" t="s">
        <v>41</v>
      </c>
      <c r="T370">
        <v>3</v>
      </c>
    </row>
    <row r="371" spans="1:20">
      <c r="A371" t="s">
        <v>439</v>
      </c>
      <c r="B371" s="3">
        <v>45554</v>
      </c>
      <c r="C371" t="s">
        <v>19</v>
      </c>
      <c r="D371" t="s">
        <v>32</v>
      </c>
      <c r="E371" t="s">
        <v>68</v>
      </c>
      <c r="F371" t="s">
        <v>22</v>
      </c>
      <c r="G371" t="s">
        <v>33</v>
      </c>
      <c r="H371">
        <v>15</v>
      </c>
      <c r="I371">
        <v>97.06</v>
      </c>
      <c r="J371">
        <v>76.3</v>
      </c>
      <c r="K371">
        <f t="shared" si="30"/>
        <v>1455.9</v>
      </c>
      <c r="L371">
        <v>0</v>
      </c>
      <c r="M371">
        <f t="shared" si="31"/>
        <v>0</v>
      </c>
      <c r="N371">
        <f t="shared" si="32"/>
        <v>1455.9</v>
      </c>
      <c r="O371">
        <f t="shared" si="33"/>
        <v>1144.5</v>
      </c>
      <c r="P371">
        <f t="shared" si="34"/>
        <v>311.40000000000009</v>
      </c>
      <c r="Q371">
        <f t="shared" si="35"/>
        <v>21.388831650525454</v>
      </c>
      <c r="R371" t="s">
        <v>50</v>
      </c>
      <c r="S371" t="s">
        <v>43</v>
      </c>
      <c r="T371">
        <v>3.4</v>
      </c>
    </row>
    <row r="372" spans="1:20">
      <c r="A372" t="s">
        <v>440</v>
      </c>
      <c r="B372" s="3">
        <v>45555</v>
      </c>
      <c r="C372" t="s">
        <v>19</v>
      </c>
      <c r="D372" t="s">
        <v>26</v>
      </c>
      <c r="E372" t="s">
        <v>68</v>
      </c>
      <c r="F372" t="s">
        <v>23</v>
      </c>
      <c r="G372" t="s">
        <v>37</v>
      </c>
      <c r="H372">
        <v>21</v>
      </c>
      <c r="I372">
        <v>324.92</v>
      </c>
      <c r="J372">
        <v>271.27</v>
      </c>
      <c r="K372">
        <f t="shared" si="30"/>
        <v>6823.3200000000006</v>
      </c>
      <c r="L372">
        <v>0.25</v>
      </c>
      <c r="M372">
        <f t="shared" si="31"/>
        <v>1705.8300000000002</v>
      </c>
      <c r="N372">
        <f t="shared" si="32"/>
        <v>5117.4900000000007</v>
      </c>
      <c r="O372">
        <f t="shared" si="33"/>
        <v>5696.67</v>
      </c>
      <c r="P372">
        <f t="shared" si="34"/>
        <v>-579.17999999999938</v>
      </c>
      <c r="Q372">
        <f t="shared" si="35"/>
        <v>-11.317657679839126</v>
      </c>
      <c r="R372" t="s">
        <v>50</v>
      </c>
      <c r="S372" t="s">
        <v>41</v>
      </c>
      <c r="T372">
        <v>4.7</v>
      </c>
    </row>
    <row r="373" spans="1:20">
      <c r="A373" t="s">
        <v>441</v>
      </c>
      <c r="B373" s="3">
        <v>45555</v>
      </c>
      <c r="C373" t="s">
        <v>19</v>
      </c>
      <c r="D373" t="s">
        <v>32</v>
      </c>
      <c r="E373" t="s">
        <v>68</v>
      </c>
      <c r="F373" t="s">
        <v>20</v>
      </c>
      <c r="G373" t="s">
        <v>36</v>
      </c>
      <c r="H373">
        <v>9</v>
      </c>
      <c r="I373">
        <v>275.7</v>
      </c>
      <c r="J373">
        <v>164.16</v>
      </c>
      <c r="K373">
        <f t="shared" si="30"/>
        <v>2481.2999999999997</v>
      </c>
      <c r="L373">
        <v>0</v>
      </c>
      <c r="M373">
        <f t="shared" si="31"/>
        <v>0</v>
      </c>
      <c r="N373">
        <f t="shared" si="32"/>
        <v>2481.2999999999997</v>
      </c>
      <c r="O373">
        <f t="shared" si="33"/>
        <v>1477.44</v>
      </c>
      <c r="P373">
        <f t="shared" si="34"/>
        <v>1003.8599999999997</v>
      </c>
      <c r="Q373">
        <f t="shared" si="35"/>
        <v>40.457018498367781</v>
      </c>
      <c r="R373" t="s">
        <v>50</v>
      </c>
      <c r="S373" t="s">
        <v>43</v>
      </c>
      <c r="T373">
        <v>4.4000000000000004</v>
      </c>
    </row>
    <row r="374" spans="1:20">
      <c r="A374" t="s">
        <v>442</v>
      </c>
      <c r="B374" s="3">
        <v>45556</v>
      </c>
      <c r="C374" t="s">
        <v>19</v>
      </c>
      <c r="D374" t="s">
        <v>28</v>
      </c>
      <c r="E374" t="s">
        <v>68</v>
      </c>
      <c r="F374" t="s">
        <v>22</v>
      </c>
      <c r="G374" t="s">
        <v>33</v>
      </c>
      <c r="H374">
        <v>28</v>
      </c>
      <c r="I374">
        <v>832.79</v>
      </c>
      <c r="J374">
        <v>650.5</v>
      </c>
      <c r="K374">
        <f t="shared" si="30"/>
        <v>23318.12</v>
      </c>
      <c r="L374">
        <v>0.2</v>
      </c>
      <c r="M374">
        <f t="shared" si="31"/>
        <v>4663.6239999999998</v>
      </c>
      <c r="N374">
        <f t="shared" si="32"/>
        <v>18654.495999999999</v>
      </c>
      <c r="O374">
        <f t="shared" si="33"/>
        <v>18214</v>
      </c>
      <c r="P374">
        <f t="shared" si="34"/>
        <v>440.49599999999919</v>
      </c>
      <c r="Q374">
        <f t="shared" si="35"/>
        <v>2.3613395934149022</v>
      </c>
      <c r="R374" t="s">
        <v>50</v>
      </c>
      <c r="S374" t="s">
        <v>41</v>
      </c>
      <c r="T374">
        <v>4.5</v>
      </c>
    </row>
    <row r="375" spans="1:20">
      <c r="A375" t="s">
        <v>443</v>
      </c>
      <c r="B375" s="3">
        <v>45556</v>
      </c>
      <c r="C375" t="s">
        <v>19</v>
      </c>
      <c r="D375" t="s">
        <v>28</v>
      </c>
      <c r="E375" t="s">
        <v>68</v>
      </c>
      <c r="F375" t="s">
        <v>20</v>
      </c>
      <c r="G375" t="s">
        <v>34</v>
      </c>
      <c r="H375">
        <v>15</v>
      </c>
      <c r="I375">
        <v>1451.65</v>
      </c>
      <c r="J375">
        <v>623.12</v>
      </c>
      <c r="K375">
        <f t="shared" si="30"/>
        <v>21774.75</v>
      </c>
      <c r="L375">
        <v>0.05</v>
      </c>
      <c r="M375">
        <f t="shared" si="31"/>
        <v>1088.7375</v>
      </c>
      <c r="N375">
        <f t="shared" si="32"/>
        <v>20686.012500000001</v>
      </c>
      <c r="O375">
        <f t="shared" si="33"/>
        <v>9346.7999999999993</v>
      </c>
      <c r="P375">
        <f t="shared" si="34"/>
        <v>11339.212500000001</v>
      </c>
      <c r="Q375">
        <f t="shared" si="35"/>
        <v>54.815844764668888</v>
      </c>
      <c r="R375" t="s">
        <v>49</v>
      </c>
      <c r="S375" t="s">
        <v>43</v>
      </c>
      <c r="T375">
        <v>4.4000000000000004</v>
      </c>
    </row>
    <row r="376" spans="1:20">
      <c r="A376" t="s">
        <v>444</v>
      </c>
      <c r="B376" s="3">
        <v>45557</v>
      </c>
      <c r="C376" t="s">
        <v>19</v>
      </c>
      <c r="D376" t="s">
        <v>30</v>
      </c>
      <c r="E376" t="s">
        <v>68</v>
      </c>
      <c r="F376" t="s">
        <v>20</v>
      </c>
      <c r="G376" t="s">
        <v>34</v>
      </c>
      <c r="H376">
        <v>1</v>
      </c>
      <c r="I376">
        <v>782.54</v>
      </c>
      <c r="J376">
        <v>455.6</v>
      </c>
      <c r="K376">
        <f t="shared" si="30"/>
        <v>782.54</v>
      </c>
      <c r="L376">
        <v>0</v>
      </c>
      <c r="M376">
        <f t="shared" si="31"/>
        <v>0</v>
      </c>
      <c r="N376">
        <f t="shared" si="32"/>
        <v>782.54</v>
      </c>
      <c r="O376">
        <f t="shared" si="33"/>
        <v>455.6</v>
      </c>
      <c r="P376">
        <f t="shared" si="34"/>
        <v>326.93999999999994</v>
      </c>
      <c r="Q376">
        <f t="shared" si="35"/>
        <v>41.779333963759036</v>
      </c>
      <c r="R376" t="s">
        <v>50</v>
      </c>
      <c r="S376" t="s">
        <v>45</v>
      </c>
      <c r="T376">
        <v>5</v>
      </c>
    </row>
    <row r="377" spans="1:20">
      <c r="A377" t="s">
        <v>445</v>
      </c>
      <c r="B377" s="3">
        <v>45557</v>
      </c>
      <c r="C377" t="s">
        <v>19</v>
      </c>
      <c r="D377" t="s">
        <v>32</v>
      </c>
      <c r="E377" t="s">
        <v>68</v>
      </c>
      <c r="F377" t="s">
        <v>22</v>
      </c>
      <c r="G377" t="s">
        <v>35</v>
      </c>
      <c r="H377">
        <v>2</v>
      </c>
      <c r="I377">
        <v>1004.87</v>
      </c>
      <c r="J377">
        <v>739.79</v>
      </c>
      <c r="K377">
        <f t="shared" si="30"/>
        <v>2009.74</v>
      </c>
      <c r="L377">
        <v>0.2</v>
      </c>
      <c r="M377">
        <f t="shared" si="31"/>
        <v>401.94800000000004</v>
      </c>
      <c r="N377">
        <f t="shared" si="32"/>
        <v>1607.7919999999999</v>
      </c>
      <c r="O377">
        <f t="shared" si="33"/>
        <v>1479.58</v>
      </c>
      <c r="P377">
        <f t="shared" si="34"/>
        <v>128.21199999999999</v>
      </c>
      <c r="Q377">
        <f t="shared" si="35"/>
        <v>7.9744146008936481</v>
      </c>
      <c r="R377" t="s">
        <v>49</v>
      </c>
      <c r="S377" t="s">
        <v>45</v>
      </c>
      <c r="T377">
        <v>4</v>
      </c>
    </row>
    <row r="378" spans="1:20">
      <c r="A378" t="s">
        <v>446</v>
      </c>
      <c r="B378" s="3">
        <v>45558</v>
      </c>
      <c r="C378" t="s">
        <v>19</v>
      </c>
      <c r="D378" t="s">
        <v>26</v>
      </c>
      <c r="E378" t="s">
        <v>68</v>
      </c>
      <c r="F378" t="s">
        <v>20</v>
      </c>
      <c r="G378" t="s">
        <v>31</v>
      </c>
      <c r="H378">
        <v>42</v>
      </c>
      <c r="I378">
        <v>1189.9100000000001</v>
      </c>
      <c r="J378">
        <v>462.61</v>
      </c>
      <c r="K378">
        <f t="shared" si="30"/>
        <v>49976.22</v>
      </c>
      <c r="L378">
        <v>0.05</v>
      </c>
      <c r="M378">
        <f t="shared" si="31"/>
        <v>2498.8110000000001</v>
      </c>
      <c r="N378">
        <f t="shared" si="32"/>
        <v>47477.409</v>
      </c>
      <c r="O378">
        <f t="shared" si="33"/>
        <v>19429.62</v>
      </c>
      <c r="P378">
        <f t="shared" si="34"/>
        <v>28047.789000000001</v>
      </c>
      <c r="Q378">
        <f t="shared" si="35"/>
        <v>59.076073422625065</v>
      </c>
      <c r="R378" t="s">
        <v>49</v>
      </c>
      <c r="S378" t="s">
        <v>45</v>
      </c>
      <c r="T378">
        <v>3.6</v>
      </c>
    </row>
    <row r="379" spans="1:20">
      <c r="A379" t="s">
        <v>447</v>
      </c>
      <c r="B379" s="3">
        <v>45558</v>
      </c>
      <c r="C379" t="s">
        <v>19</v>
      </c>
      <c r="D379" t="s">
        <v>26</v>
      </c>
      <c r="E379" t="s">
        <v>70</v>
      </c>
      <c r="F379" t="s">
        <v>24</v>
      </c>
      <c r="G379" t="s">
        <v>29</v>
      </c>
      <c r="H379">
        <v>18</v>
      </c>
      <c r="I379">
        <v>528.54</v>
      </c>
      <c r="J379">
        <v>367.52</v>
      </c>
      <c r="K379">
        <f t="shared" si="30"/>
        <v>9513.7199999999993</v>
      </c>
      <c r="L379">
        <v>0.05</v>
      </c>
      <c r="M379">
        <f t="shared" si="31"/>
        <v>475.68599999999998</v>
      </c>
      <c r="N379">
        <f t="shared" si="32"/>
        <v>9038.0339999999997</v>
      </c>
      <c r="O379">
        <f t="shared" si="33"/>
        <v>6615.36</v>
      </c>
      <c r="P379">
        <f t="shared" si="34"/>
        <v>2422.674</v>
      </c>
      <c r="Q379">
        <f t="shared" si="35"/>
        <v>26.805320714659846</v>
      </c>
      <c r="R379" t="s">
        <v>50</v>
      </c>
      <c r="S379" t="s">
        <v>41</v>
      </c>
      <c r="T379">
        <v>4</v>
      </c>
    </row>
    <row r="380" spans="1:20">
      <c r="A380" t="s">
        <v>448</v>
      </c>
      <c r="B380" s="3">
        <v>45561</v>
      </c>
      <c r="C380" t="s">
        <v>19</v>
      </c>
      <c r="D380" t="s">
        <v>28</v>
      </c>
      <c r="E380" t="s">
        <v>68</v>
      </c>
      <c r="F380" t="s">
        <v>22</v>
      </c>
      <c r="G380" t="s">
        <v>35</v>
      </c>
      <c r="H380">
        <v>27</v>
      </c>
      <c r="I380">
        <v>144.85</v>
      </c>
      <c r="J380">
        <v>92.28</v>
      </c>
      <c r="K380">
        <f t="shared" si="30"/>
        <v>3910.95</v>
      </c>
      <c r="L380">
        <v>0</v>
      </c>
      <c r="M380">
        <f t="shared" si="31"/>
        <v>0</v>
      </c>
      <c r="N380">
        <f t="shared" si="32"/>
        <v>3910.95</v>
      </c>
      <c r="O380">
        <f t="shared" si="33"/>
        <v>2491.56</v>
      </c>
      <c r="P380">
        <f t="shared" si="34"/>
        <v>1419.3899999999999</v>
      </c>
      <c r="Q380">
        <f t="shared" si="35"/>
        <v>36.292716603382807</v>
      </c>
      <c r="R380" t="s">
        <v>49</v>
      </c>
      <c r="S380" t="s">
        <v>41</v>
      </c>
      <c r="T380">
        <v>4</v>
      </c>
    </row>
    <row r="381" spans="1:20">
      <c r="A381" t="s">
        <v>449</v>
      </c>
      <c r="B381" s="3">
        <v>45562</v>
      </c>
      <c r="C381" t="s">
        <v>19</v>
      </c>
      <c r="D381" t="s">
        <v>32</v>
      </c>
      <c r="E381" t="s">
        <v>68</v>
      </c>
      <c r="F381" t="s">
        <v>22</v>
      </c>
      <c r="G381" t="s">
        <v>42</v>
      </c>
      <c r="H381">
        <v>5</v>
      </c>
      <c r="I381">
        <v>885.47</v>
      </c>
      <c r="J381">
        <v>658.46</v>
      </c>
      <c r="K381">
        <f t="shared" si="30"/>
        <v>4427.3500000000004</v>
      </c>
      <c r="L381">
        <v>0.05</v>
      </c>
      <c r="M381">
        <f t="shared" si="31"/>
        <v>221.36750000000004</v>
      </c>
      <c r="N381">
        <f t="shared" si="32"/>
        <v>4205.9825000000001</v>
      </c>
      <c r="O381">
        <f t="shared" si="33"/>
        <v>3292.3</v>
      </c>
      <c r="P381">
        <f t="shared" si="34"/>
        <v>913.68249999999989</v>
      </c>
      <c r="Q381">
        <f t="shared" si="35"/>
        <v>21.723402320385304</v>
      </c>
      <c r="R381" t="s">
        <v>50</v>
      </c>
      <c r="S381" t="s">
        <v>43</v>
      </c>
      <c r="T381">
        <v>3.6</v>
      </c>
    </row>
    <row r="382" spans="1:20">
      <c r="A382" t="s">
        <v>450</v>
      </c>
      <c r="B382" s="3">
        <v>45562</v>
      </c>
      <c r="C382" t="s">
        <v>19</v>
      </c>
      <c r="D382" t="s">
        <v>28</v>
      </c>
      <c r="E382" t="s">
        <v>68</v>
      </c>
      <c r="F382" t="s">
        <v>20</v>
      </c>
      <c r="G382" t="s">
        <v>34</v>
      </c>
      <c r="H382">
        <v>38</v>
      </c>
      <c r="I382">
        <v>1172.6199999999999</v>
      </c>
      <c r="J382">
        <v>668.93</v>
      </c>
      <c r="K382">
        <f t="shared" si="30"/>
        <v>44559.56</v>
      </c>
      <c r="L382">
        <v>0</v>
      </c>
      <c r="M382">
        <f t="shared" si="31"/>
        <v>0</v>
      </c>
      <c r="N382">
        <f t="shared" si="32"/>
        <v>44559.56</v>
      </c>
      <c r="O382">
        <f t="shared" si="33"/>
        <v>25419.339999999997</v>
      </c>
      <c r="P382">
        <f t="shared" si="34"/>
        <v>19140.22</v>
      </c>
      <c r="Q382">
        <f t="shared" si="35"/>
        <v>42.954239224983375</v>
      </c>
      <c r="R382" t="s">
        <v>50</v>
      </c>
      <c r="S382" t="s">
        <v>41</v>
      </c>
      <c r="T382">
        <v>4.5</v>
      </c>
    </row>
    <row r="383" spans="1:20">
      <c r="A383" t="s">
        <v>451</v>
      </c>
      <c r="B383" s="3">
        <v>45565</v>
      </c>
      <c r="C383" t="s">
        <v>19</v>
      </c>
      <c r="D383" t="s">
        <v>32</v>
      </c>
      <c r="E383" t="s">
        <v>68</v>
      </c>
      <c r="F383" t="s">
        <v>24</v>
      </c>
      <c r="G383" t="s">
        <v>29</v>
      </c>
      <c r="H383">
        <v>19</v>
      </c>
      <c r="I383">
        <v>1358.48</v>
      </c>
      <c r="J383">
        <v>761.64</v>
      </c>
      <c r="K383">
        <f t="shared" si="30"/>
        <v>25811.119999999999</v>
      </c>
      <c r="L383">
        <v>0</v>
      </c>
      <c r="M383">
        <f t="shared" si="31"/>
        <v>0</v>
      </c>
      <c r="N383">
        <f t="shared" si="32"/>
        <v>25811.119999999999</v>
      </c>
      <c r="O383">
        <f t="shared" si="33"/>
        <v>14471.16</v>
      </c>
      <c r="P383">
        <f t="shared" si="34"/>
        <v>11339.96</v>
      </c>
      <c r="Q383">
        <f t="shared" si="35"/>
        <v>43.934397267534301</v>
      </c>
      <c r="R383" t="s">
        <v>51</v>
      </c>
      <c r="S383" t="s">
        <v>41</v>
      </c>
      <c r="T383">
        <v>4.5</v>
      </c>
    </row>
    <row r="384" spans="1:20">
      <c r="A384" t="s">
        <v>452</v>
      </c>
      <c r="B384" s="3">
        <v>45565</v>
      </c>
      <c r="C384" t="s">
        <v>19</v>
      </c>
      <c r="D384" t="s">
        <v>26</v>
      </c>
      <c r="E384" t="s">
        <v>68</v>
      </c>
      <c r="F384" t="s">
        <v>23</v>
      </c>
      <c r="G384" t="s">
        <v>37</v>
      </c>
      <c r="H384">
        <v>26</v>
      </c>
      <c r="I384">
        <v>145.18</v>
      </c>
      <c r="J384">
        <v>109.71</v>
      </c>
      <c r="K384">
        <f t="shared" si="30"/>
        <v>3774.6800000000003</v>
      </c>
      <c r="L384">
        <v>0.25</v>
      </c>
      <c r="M384">
        <f t="shared" si="31"/>
        <v>943.67000000000007</v>
      </c>
      <c r="N384">
        <f t="shared" si="32"/>
        <v>2831.01</v>
      </c>
      <c r="O384">
        <f t="shared" si="33"/>
        <v>2852.46</v>
      </c>
      <c r="P384">
        <f t="shared" si="34"/>
        <v>-21.449999999999818</v>
      </c>
      <c r="Q384">
        <f t="shared" si="35"/>
        <v>-0.7576801212288129</v>
      </c>
      <c r="R384" t="s">
        <v>51</v>
      </c>
      <c r="S384" t="s">
        <v>41</v>
      </c>
      <c r="T384">
        <v>3.9</v>
      </c>
    </row>
    <row r="385" spans="1:20">
      <c r="A385" t="s">
        <v>453</v>
      </c>
      <c r="B385" s="3">
        <v>45565</v>
      </c>
      <c r="C385" t="s">
        <v>19</v>
      </c>
      <c r="D385" t="s">
        <v>26</v>
      </c>
      <c r="E385" t="s">
        <v>68</v>
      </c>
      <c r="F385" t="s">
        <v>22</v>
      </c>
      <c r="G385" t="s">
        <v>33</v>
      </c>
      <c r="H385">
        <v>5</v>
      </c>
      <c r="I385">
        <v>116.87</v>
      </c>
      <c r="J385">
        <v>72.989999999999995</v>
      </c>
      <c r="K385">
        <f t="shared" si="30"/>
        <v>584.35</v>
      </c>
      <c r="L385">
        <v>0</v>
      </c>
      <c r="M385">
        <f t="shared" si="31"/>
        <v>0</v>
      </c>
      <c r="N385">
        <f t="shared" si="32"/>
        <v>584.35</v>
      </c>
      <c r="O385">
        <f t="shared" si="33"/>
        <v>364.95</v>
      </c>
      <c r="P385">
        <f t="shared" si="34"/>
        <v>219.40000000000003</v>
      </c>
      <c r="Q385">
        <f t="shared" si="35"/>
        <v>37.545991272353902</v>
      </c>
      <c r="R385" t="s">
        <v>49</v>
      </c>
      <c r="S385" t="s">
        <v>41</v>
      </c>
      <c r="T385">
        <v>4.3</v>
      </c>
    </row>
    <row r="386" spans="1:20">
      <c r="A386" t="s">
        <v>454</v>
      </c>
      <c r="B386" s="3">
        <v>45565</v>
      </c>
      <c r="C386" t="s">
        <v>19</v>
      </c>
      <c r="D386" t="s">
        <v>28</v>
      </c>
      <c r="E386" t="s">
        <v>86</v>
      </c>
      <c r="F386" t="s">
        <v>23</v>
      </c>
      <c r="G386" t="s">
        <v>37</v>
      </c>
      <c r="H386">
        <v>45</v>
      </c>
      <c r="I386">
        <v>1129.29</v>
      </c>
      <c r="J386">
        <v>835.38</v>
      </c>
      <c r="K386">
        <f t="shared" ref="K386:K449" si="36">H386*I386</f>
        <v>50818.049999999996</v>
      </c>
      <c r="L386">
        <v>0.1</v>
      </c>
      <c r="M386">
        <f t="shared" ref="M386:M449" si="37">K386*L386</f>
        <v>5081.8050000000003</v>
      </c>
      <c r="N386">
        <f t="shared" ref="N386:N449" si="38">K386-M386</f>
        <v>45736.244999999995</v>
      </c>
      <c r="O386">
        <f t="shared" ref="O386:O449" si="39">H386*J386</f>
        <v>37592.1</v>
      </c>
      <c r="P386">
        <f t="shared" ref="P386:P449" si="40">N386-O386</f>
        <v>8144.1449999999968</v>
      </c>
      <c r="Q386">
        <f t="shared" ref="Q386:Q449" si="41">IFERROR(P386/N386*100,0)</f>
        <v>17.806763541694334</v>
      </c>
      <c r="R386" t="s">
        <v>49</v>
      </c>
      <c r="S386" t="s">
        <v>41</v>
      </c>
      <c r="T386">
        <v>3.9</v>
      </c>
    </row>
    <row r="387" spans="1:20">
      <c r="A387" t="s">
        <v>455</v>
      </c>
      <c r="B387" s="3">
        <v>45566</v>
      </c>
      <c r="C387" t="s">
        <v>19</v>
      </c>
      <c r="D387" t="s">
        <v>32</v>
      </c>
      <c r="E387" t="s">
        <v>68</v>
      </c>
      <c r="F387" t="s">
        <v>24</v>
      </c>
      <c r="G387" t="s">
        <v>46</v>
      </c>
      <c r="H387">
        <v>16</v>
      </c>
      <c r="I387">
        <v>1231.22</v>
      </c>
      <c r="J387">
        <v>664</v>
      </c>
      <c r="K387">
        <f t="shared" si="36"/>
        <v>19699.52</v>
      </c>
      <c r="L387">
        <v>0</v>
      </c>
      <c r="M387">
        <f t="shared" si="37"/>
        <v>0</v>
      </c>
      <c r="N387">
        <f t="shared" si="38"/>
        <v>19699.52</v>
      </c>
      <c r="O387">
        <f t="shared" si="39"/>
        <v>10624</v>
      </c>
      <c r="P387">
        <f t="shared" si="40"/>
        <v>9075.52</v>
      </c>
      <c r="Q387">
        <f t="shared" si="41"/>
        <v>46.069751953347087</v>
      </c>
      <c r="R387" t="s">
        <v>50</v>
      </c>
      <c r="S387" t="s">
        <v>47</v>
      </c>
      <c r="T387">
        <v>4.7</v>
      </c>
    </row>
    <row r="388" spans="1:20">
      <c r="A388" t="s">
        <v>456</v>
      </c>
      <c r="B388" s="3">
        <v>45567</v>
      </c>
      <c r="C388" t="s">
        <v>19</v>
      </c>
      <c r="D388" t="s">
        <v>26</v>
      </c>
      <c r="E388" t="s">
        <v>86</v>
      </c>
      <c r="F388" t="s">
        <v>24</v>
      </c>
      <c r="G388" t="s">
        <v>46</v>
      </c>
      <c r="H388">
        <v>15</v>
      </c>
      <c r="I388">
        <v>1376.58</v>
      </c>
      <c r="J388">
        <v>885.96</v>
      </c>
      <c r="K388">
        <f t="shared" si="36"/>
        <v>20648.699999999997</v>
      </c>
      <c r="L388">
        <v>0.15</v>
      </c>
      <c r="M388">
        <f t="shared" si="37"/>
        <v>3097.3049999999994</v>
      </c>
      <c r="N388">
        <f t="shared" si="38"/>
        <v>17551.394999999997</v>
      </c>
      <c r="O388">
        <f t="shared" si="39"/>
        <v>13289.400000000001</v>
      </c>
      <c r="P388">
        <f t="shared" si="40"/>
        <v>4261.9949999999953</v>
      </c>
      <c r="Q388">
        <f t="shared" si="41"/>
        <v>24.282941612333357</v>
      </c>
      <c r="R388" t="s">
        <v>49</v>
      </c>
      <c r="S388" t="s">
        <v>41</v>
      </c>
      <c r="T388">
        <v>4.2</v>
      </c>
    </row>
    <row r="389" spans="1:20">
      <c r="A389" t="s">
        <v>457</v>
      </c>
      <c r="B389" s="3">
        <v>45570</v>
      </c>
      <c r="C389" t="s">
        <v>19</v>
      </c>
      <c r="D389" t="s">
        <v>32</v>
      </c>
      <c r="E389" t="s">
        <v>68</v>
      </c>
      <c r="F389" t="s">
        <v>23</v>
      </c>
      <c r="G389" t="s">
        <v>44</v>
      </c>
      <c r="H389">
        <v>30</v>
      </c>
      <c r="I389">
        <v>1004.74</v>
      </c>
      <c r="J389">
        <v>827.29</v>
      </c>
      <c r="K389">
        <f t="shared" si="36"/>
        <v>30142.2</v>
      </c>
      <c r="L389">
        <v>0</v>
      </c>
      <c r="M389">
        <f t="shared" si="37"/>
        <v>0</v>
      </c>
      <c r="N389">
        <f t="shared" si="38"/>
        <v>30142.2</v>
      </c>
      <c r="O389">
        <f t="shared" si="39"/>
        <v>24818.699999999997</v>
      </c>
      <c r="P389">
        <f t="shared" si="40"/>
        <v>5323.5000000000036</v>
      </c>
      <c r="Q389">
        <f t="shared" si="41"/>
        <v>17.661285506698263</v>
      </c>
      <c r="R389" t="s">
        <v>50</v>
      </c>
      <c r="S389" t="s">
        <v>43</v>
      </c>
      <c r="T389">
        <v>3.1</v>
      </c>
    </row>
    <row r="390" spans="1:20">
      <c r="A390" t="s">
        <v>458</v>
      </c>
      <c r="B390" s="3">
        <v>45570</v>
      </c>
      <c r="C390" t="s">
        <v>19</v>
      </c>
      <c r="D390" t="s">
        <v>26</v>
      </c>
      <c r="E390" t="s">
        <v>68</v>
      </c>
      <c r="F390" t="s">
        <v>22</v>
      </c>
      <c r="G390" t="s">
        <v>33</v>
      </c>
      <c r="H390">
        <v>17</v>
      </c>
      <c r="I390">
        <v>184.32</v>
      </c>
      <c r="J390">
        <v>119.79</v>
      </c>
      <c r="K390">
        <f t="shared" si="36"/>
        <v>3133.44</v>
      </c>
      <c r="L390">
        <v>0.25</v>
      </c>
      <c r="M390">
        <f t="shared" si="37"/>
        <v>783.36</v>
      </c>
      <c r="N390">
        <f t="shared" si="38"/>
        <v>2350.08</v>
      </c>
      <c r="O390">
        <f t="shared" si="39"/>
        <v>2036.43</v>
      </c>
      <c r="P390">
        <f t="shared" si="40"/>
        <v>313.64999999999986</v>
      </c>
      <c r="Q390">
        <f t="shared" si="41"/>
        <v>13.346354166666661</v>
      </c>
      <c r="R390" t="s">
        <v>50</v>
      </c>
      <c r="S390" t="s">
        <v>41</v>
      </c>
      <c r="T390">
        <v>3.9</v>
      </c>
    </row>
    <row r="391" spans="1:20">
      <c r="A391" t="s">
        <v>459</v>
      </c>
      <c r="B391" s="3">
        <v>45571</v>
      </c>
      <c r="C391" t="s">
        <v>19</v>
      </c>
      <c r="D391" t="s">
        <v>32</v>
      </c>
      <c r="E391" t="s">
        <v>68</v>
      </c>
      <c r="F391" t="s">
        <v>23</v>
      </c>
      <c r="G391" t="s">
        <v>44</v>
      </c>
      <c r="H391">
        <v>9</v>
      </c>
      <c r="I391">
        <v>407.73</v>
      </c>
      <c r="J391">
        <v>297.22000000000003</v>
      </c>
      <c r="K391">
        <f t="shared" si="36"/>
        <v>3669.57</v>
      </c>
      <c r="L391">
        <v>0.05</v>
      </c>
      <c r="M391">
        <f t="shared" si="37"/>
        <v>183.47850000000003</v>
      </c>
      <c r="N391">
        <f t="shared" si="38"/>
        <v>3486.0915</v>
      </c>
      <c r="O391">
        <f t="shared" si="39"/>
        <v>2674.9800000000005</v>
      </c>
      <c r="P391">
        <f t="shared" si="40"/>
        <v>811.11149999999952</v>
      </c>
      <c r="Q391">
        <f t="shared" si="41"/>
        <v>23.267074315175019</v>
      </c>
      <c r="R391" t="s">
        <v>50</v>
      </c>
      <c r="S391" t="s">
        <v>43</v>
      </c>
      <c r="T391">
        <v>4.2</v>
      </c>
    </row>
    <row r="392" spans="1:20">
      <c r="A392" t="s">
        <v>460</v>
      </c>
      <c r="B392" s="3">
        <v>45571</v>
      </c>
      <c r="C392" t="s">
        <v>19</v>
      </c>
      <c r="D392" t="s">
        <v>28</v>
      </c>
      <c r="E392" t="s">
        <v>68</v>
      </c>
      <c r="F392" t="s">
        <v>24</v>
      </c>
      <c r="G392" t="s">
        <v>46</v>
      </c>
      <c r="H392">
        <v>9</v>
      </c>
      <c r="I392">
        <v>1155.44</v>
      </c>
      <c r="J392">
        <v>579.91</v>
      </c>
      <c r="K392">
        <f t="shared" si="36"/>
        <v>10398.960000000001</v>
      </c>
      <c r="L392">
        <v>0</v>
      </c>
      <c r="M392">
        <f t="shared" si="37"/>
        <v>0</v>
      </c>
      <c r="N392">
        <f t="shared" si="38"/>
        <v>10398.960000000001</v>
      </c>
      <c r="O392">
        <f t="shared" si="39"/>
        <v>5219.1899999999996</v>
      </c>
      <c r="P392">
        <f t="shared" si="40"/>
        <v>5179.7700000000013</v>
      </c>
      <c r="Q392">
        <f t="shared" si="41"/>
        <v>49.810461815412324</v>
      </c>
      <c r="R392" t="s">
        <v>49</v>
      </c>
      <c r="S392" t="s">
        <v>41</v>
      </c>
      <c r="T392">
        <v>3.9</v>
      </c>
    </row>
    <row r="393" spans="1:20">
      <c r="A393" t="s">
        <v>461</v>
      </c>
      <c r="B393" s="3">
        <v>45572</v>
      </c>
      <c r="C393" t="s">
        <v>19</v>
      </c>
      <c r="D393" t="s">
        <v>32</v>
      </c>
      <c r="E393" t="s">
        <v>68</v>
      </c>
      <c r="F393" t="s">
        <v>20</v>
      </c>
      <c r="G393" t="s">
        <v>31</v>
      </c>
      <c r="H393">
        <v>31</v>
      </c>
      <c r="I393">
        <v>123.26</v>
      </c>
      <c r="J393">
        <v>61.24</v>
      </c>
      <c r="K393">
        <f t="shared" si="36"/>
        <v>3821.06</v>
      </c>
      <c r="L393">
        <v>0</v>
      </c>
      <c r="M393">
        <f t="shared" si="37"/>
        <v>0</v>
      </c>
      <c r="N393">
        <f t="shared" si="38"/>
        <v>3821.06</v>
      </c>
      <c r="O393">
        <f t="shared" si="39"/>
        <v>1898.44</v>
      </c>
      <c r="P393">
        <f t="shared" si="40"/>
        <v>1922.62</v>
      </c>
      <c r="Q393">
        <f t="shared" si="41"/>
        <v>50.316404348531563</v>
      </c>
      <c r="R393" t="s">
        <v>49</v>
      </c>
      <c r="S393" t="s">
        <v>47</v>
      </c>
      <c r="T393">
        <v>3.9</v>
      </c>
    </row>
    <row r="394" spans="1:20">
      <c r="A394" t="s">
        <v>462</v>
      </c>
      <c r="B394" s="3">
        <v>45573</v>
      </c>
      <c r="C394" t="s">
        <v>19</v>
      </c>
      <c r="D394" t="s">
        <v>28</v>
      </c>
      <c r="E394" t="s">
        <v>70</v>
      </c>
      <c r="F394" t="s">
        <v>23</v>
      </c>
      <c r="G394" t="s">
        <v>37</v>
      </c>
      <c r="H394">
        <v>44</v>
      </c>
      <c r="I394">
        <v>1451.82</v>
      </c>
      <c r="J394">
        <v>1153.03</v>
      </c>
      <c r="K394">
        <f t="shared" si="36"/>
        <v>63880.079999999994</v>
      </c>
      <c r="L394">
        <v>0</v>
      </c>
      <c r="M394">
        <f t="shared" si="37"/>
        <v>0</v>
      </c>
      <c r="N394">
        <f t="shared" si="38"/>
        <v>63880.079999999994</v>
      </c>
      <c r="O394">
        <f t="shared" si="39"/>
        <v>50733.32</v>
      </c>
      <c r="P394">
        <f t="shared" si="40"/>
        <v>13146.759999999995</v>
      </c>
      <c r="Q394">
        <f t="shared" si="41"/>
        <v>20.580374977614298</v>
      </c>
      <c r="R394" t="s">
        <v>49</v>
      </c>
      <c r="S394" t="s">
        <v>47</v>
      </c>
      <c r="T394">
        <v>4.9000000000000004</v>
      </c>
    </row>
    <row r="395" spans="1:20">
      <c r="A395" t="s">
        <v>463</v>
      </c>
      <c r="B395" s="3">
        <v>45573</v>
      </c>
      <c r="C395" t="s">
        <v>19</v>
      </c>
      <c r="D395" t="s">
        <v>28</v>
      </c>
      <c r="E395" t="s">
        <v>68</v>
      </c>
      <c r="F395" t="s">
        <v>20</v>
      </c>
      <c r="G395" t="s">
        <v>36</v>
      </c>
      <c r="H395">
        <v>45</v>
      </c>
      <c r="I395">
        <v>679.46</v>
      </c>
      <c r="J395">
        <v>275.79000000000002</v>
      </c>
      <c r="K395">
        <f t="shared" si="36"/>
        <v>30575.7</v>
      </c>
      <c r="L395">
        <v>0.05</v>
      </c>
      <c r="M395">
        <f t="shared" si="37"/>
        <v>1528.7850000000001</v>
      </c>
      <c r="N395">
        <f t="shared" si="38"/>
        <v>29046.915000000001</v>
      </c>
      <c r="O395">
        <f t="shared" si="39"/>
        <v>12410.550000000001</v>
      </c>
      <c r="P395">
        <f t="shared" si="40"/>
        <v>16636.364999999998</v>
      </c>
      <c r="Q395">
        <f t="shared" si="41"/>
        <v>57.274120160436993</v>
      </c>
      <c r="R395" t="s">
        <v>49</v>
      </c>
      <c r="S395" t="s">
        <v>41</v>
      </c>
      <c r="T395">
        <v>4.7</v>
      </c>
    </row>
    <row r="396" spans="1:20">
      <c r="A396" t="s">
        <v>464</v>
      </c>
      <c r="B396" s="3">
        <v>45575</v>
      </c>
      <c r="C396" t="s">
        <v>19</v>
      </c>
      <c r="D396" t="s">
        <v>28</v>
      </c>
      <c r="E396" t="s">
        <v>86</v>
      </c>
      <c r="F396" t="s">
        <v>20</v>
      </c>
      <c r="G396" t="s">
        <v>31</v>
      </c>
      <c r="H396">
        <v>15</v>
      </c>
      <c r="I396">
        <v>1034.68</v>
      </c>
      <c r="J396">
        <v>532.65</v>
      </c>
      <c r="K396">
        <f t="shared" si="36"/>
        <v>15520.2</v>
      </c>
      <c r="L396">
        <v>0</v>
      </c>
      <c r="M396">
        <f t="shared" si="37"/>
        <v>0</v>
      </c>
      <c r="N396">
        <f t="shared" si="38"/>
        <v>15520.2</v>
      </c>
      <c r="O396">
        <f t="shared" si="39"/>
        <v>7989.75</v>
      </c>
      <c r="P396">
        <f t="shared" si="40"/>
        <v>7530.4500000000007</v>
      </c>
      <c r="Q396">
        <f t="shared" si="41"/>
        <v>48.520315459852327</v>
      </c>
      <c r="R396" t="s">
        <v>51</v>
      </c>
      <c r="S396" t="s">
        <v>47</v>
      </c>
      <c r="T396">
        <v>4</v>
      </c>
    </row>
    <row r="397" spans="1:20">
      <c r="A397" t="s">
        <v>465</v>
      </c>
      <c r="B397" s="3">
        <v>45576</v>
      </c>
      <c r="C397" t="s">
        <v>19</v>
      </c>
      <c r="D397" t="s">
        <v>32</v>
      </c>
      <c r="E397" t="s">
        <v>70</v>
      </c>
      <c r="F397" t="s">
        <v>22</v>
      </c>
      <c r="G397" t="s">
        <v>35</v>
      </c>
      <c r="H397">
        <v>48</v>
      </c>
      <c r="I397">
        <v>511.91</v>
      </c>
      <c r="J397">
        <v>314.24</v>
      </c>
      <c r="K397">
        <f t="shared" si="36"/>
        <v>24571.68</v>
      </c>
      <c r="L397">
        <v>0.15</v>
      </c>
      <c r="M397">
        <f t="shared" si="37"/>
        <v>3685.752</v>
      </c>
      <c r="N397">
        <f t="shared" si="38"/>
        <v>20885.928</v>
      </c>
      <c r="O397">
        <f t="shared" si="39"/>
        <v>15083.52</v>
      </c>
      <c r="P397">
        <f t="shared" si="40"/>
        <v>5802.4079999999994</v>
      </c>
      <c r="Q397">
        <f t="shared" si="41"/>
        <v>27.7814229753162</v>
      </c>
      <c r="R397" t="s">
        <v>49</v>
      </c>
      <c r="S397" t="s">
        <v>47</v>
      </c>
      <c r="T397">
        <v>4.7</v>
      </c>
    </row>
    <row r="398" spans="1:20">
      <c r="A398" t="s">
        <v>466</v>
      </c>
      <c r="B398" s="3">
        <v>45576</v>
      </c>
      <c r="C398" t="s">
        <v>19</v>
      </c>
      <c r="D398" t="s">
        <v>26</v>
      </c>
      <c r="E398" t="s">
        <v>68</v>
      </c>
      <c r="F398" t="s">
        <v>20</v>
      </c>
      <c r="G398" t="s">
        <v>34</v>
      </c>
      <c r="H398">
        <v>30</v>
      </c>
      <c r="I398">
        <v>418.97</v>
      </c>
      <c r="J398">
        <v>161.47</v>
      </c>
      <c r="K398">
        <f t="shared" si="36"/>
        <v>12569.1</v>
      </c>
      <c r="L398">
        <v>0.05</v>
      </c>
      <c r="M398">
        <f t="shared" si="37"/>
        <v>628.45500000000004</v>
      </c>
      <c r="N398">
        <f t="shared" si="38"/>
        <v>11940.645</v>
      </c>
      <c r="O398">
        <f t="shared" si="39"/>
        <v>4844.1000000000004</v>
      </c>
      <c r="P398">
        <f t="shared" si="40"/>
        <v>7096.5450000000001</v>
      </c>
      <c r="Q398">
        <f t="shared" si="41"/>
        <v>59.431839737300621</v>
      </c>
      <c r="R398" t="s">
        <v>49</v>
      </c>
      <c r="S398" t="s">
        <v>45</v>
      </c>
      <c r="T398">
        <v>3.6</v>
      </c>
    </row>
    <row r="399" spans="1:20">
      <c r="A399" t="s">
        <v>467</v>
      </c>
      <c r="B399" s="3">
        <v>45577</v>
      </c>
      <c r="C399" t="s">
        <v>19</v>
      </c>
      <c r="D399" t="s">
        <v>26</v>
      </c>
      <c r="E399" t="s">
        <v>68</v>
      </c>
      <c r="F399" t="s">
        <v>20</v>
      </c>
      <c r="G399" t="s">
        <v>31</v>
      </c>
      <c r="H399">
        <v>5</v>
      </c>
      <c r="I399">
        <v>1300.8499999999999</v>
      </c>
      <c r="J399">
        <v>641</v>
      </c>
      <c r="K399">
        <f t="shared" si="36"/>
        <v>6504.25</v>
      </c>
      <c r="L399">
        <v>0</v>
      </c>
      <c r="M399">
        <f t="shared" si="37"/>
        <v>0</v>
      </c>
      <c r="N399">
        <f t="shared" si="38"/>
        <v>6504.25</v>
      </c>
      <c r="O399">
        <f t="shared" si="39"/>
        <v>3205</v>
      </c>
      <c r="P399">
        <f t="shared" si="40"/>
        <v>3299.25</v>
      </c>
      <c r="Q399">
        <f t="shared" si="41"/>
        <v>50.724526271284162</v>
      </c>
      <c r="R399" t="s">
        <v>49</v>
      </c>
      <c r="S399" t="s">
        <v>45</v>
      </c>
      <c r="T399">
        <v>3.8</v>
      </c>
    </row>
    <row r="400" spans="1:20">
      <c r="A400" t="s">
        <v>468</v>
      </c>
      <c r="B400" s="3">
        <v>45577</v>
      </c>
      <c r="C400" t="s">
        <v>19</v>
      </c>
      <c r="D400" t="s">
        <v>32</v>
      </c>
      <c r="E400" t="s">
        <v>68</v>
      </c>
      <c r="F400" t="s">
        <v>24</v>
      </c>
      <c r="G400" t="s">
        <v>29</v>
      </c>
      <c r="H400">
        <v>17</v>
      </c>
      <c r="I400">
        <v>1478.27</v>
      </c>
      <c r="J400">
        <v>812.79</v>
      </c>
      <c r="K400">
        <f t="shared" si="36"/>
        <v>25130.59</v>
      </c>
      <c r="L400">
        <v>0.1</v>
      </c>
      <c r="M400">
        <f t="shared" si="37"/>
        <v>2513.0590000000002</v>
      </c>
      <c r="N400">
        <f t="shared" si="38"/>
        <v>22617.530999999999</v>
      </c>
      <c r="O400">
        <f t="shared" si="39"/>
        <v>13817.43</v>
      </c>
      <c r="P400">
        <f t="shared" si="40"/>
        <v>8800.1009999999987</v>
      </c>
      <c r="Q400">
        <f t="shared" si="41"/>
        <v>38.908318507444513</v>
      </c>
      <c r="R400" t="s">
        <v>50</v>
      </c>
      <c r="S400" t="s">
        <v>41</v>
      </c>
      <c r="T400">
        <v>3.3</v>
      </c>
    </row>
    <row r="401" spans="1:20">
      <c r="A401" t="s">
        <v>469</v>
      </c>
      <c r="B401" s="3">
        <v>45578</v>
      </c>
      <c r="C401" t="s">
        <v>19</v>
      </c>
      <c r="D401" t="s">
        <v>30</v>
      </c>
      <c r="E401" t="s">
        <v>68</v>
      </c>
      <c r="F401" t="s">
        <v>20</v>
      </c>
      <c r="G401" t="s">
        <v>31</v>
      </c>
      <c r="H401">
        <v>39</v>
      </c>
      <c r="I401">
        <v>886.32</v>
      </c>
      <c r="J401">
        <v>364.6</v>
      </c>
      <c r="K401">
        <f t="shared" si="36"/>
        <v>34566.480000000003</v>
      </c>
      <c r="L401">
        <v>0.1</v>
      </c>
      <c r="M401">
        <f t="shared" si="37"/>
        <v>3456.6480000000006</v>
      </c>
      <c r="N401">
        <f t="shared" si="38"/>
        <v>31109.832000000002</v>
      </c>
      <c r="O401">
        <f t="shared" si="39"/>
        <v>14219.400000000001</v>
      </c>
      <c r="P401">
        <f t="shared" si="40"/>
        <v>16890.432000000001</v>
      </c>
      <c r="Q401">
        <f t="shared" si="41"/>
        <v>54.29290649978438</v>
      </c>
      <c r="R401" t="s">
        <v>50</v>
      </c>
      <c r="S401" t="s">
        <v>43</v>
      </c>
      <c r="T401">
        <v>3.4</v>
      </c>
    </row>
    <row r="402" spans="1:20">
      <c r="A402" t="s">
        <v>470</v>
      </c>
      <c r="B402" s="3">
        <v>45580</v>
      </c>
      <c r="C402" t="s">
        <v>19</v>
      </c>
      <c r="D402" t="s">
        <v>28</v>
      </c>
      <c r="E402" t="s">
        <v>68</v>
      </c>
      <c r="F402" t="s">
        <v>24</v>
      </c>
      <c r="G402" t="s">
        <v>46</v>
      </c>
      <c r="H402">
        <v>38</v>
      </c>
      <c r="I402">
        <v>930.06</v>
      </c>
      <c r="J402">
        <v>631.86</v>
      </c>
      <c r="K402">
        <f t="shared" si="36"/>
        <v>35342.28</v>
      </c>
      <c r="L402">
        <v>0</v>
      </c>
      <c r="M402">
        <f t="shared" si="37"/>
        <v>0</v>
      </c>
      <c r="N402">
        <f t="shared" si="38"/>
        <v>35342.28</v>
      </c>
      <c r="O402">
        <f t="shared" si="39"/>
        <v>24010.68</v>
      </c>
      <c r="P402">
        <f t="shared" si="40"/>
        <v>11331.599999999999</v>
      </c>
      <c r="Q402">
        <f t="shared" si="41"/>
        <v>32.062447584026835</v>
      </c>
      <c r="R402" t="s">
        <v>49</v>
      </c>
      <c r="S402" t="s">
        <v>41</v>
      </c>
      <c r="T402">
        <v>3.6</v>
      </c>
    </row>
    <row r="403" spans="1:20">
      <c r="A403" t="s">
        <v>471</v>
      </c>
      <c r="B403" s="3">
        <v>45580</v>
      </c>
      <c r="C403" t="s">
        <v>19</v>
      </c>
      <c r="D403" t="s">
        <v>30</v>
      </c>
      <c r="E403" t="s">
        <v>68</v>
      </c>
      <c r="F403" t="s">
        <v>23</v>
      </c>
      <c r="G403" t="s">
        <v>38</v>
      </c>
      <c r="H403">
        <v>27</v>
      </c>
      <c r="I403">
        <v>125.76</v>
      </c>
      <c r="J403">
        <v>89.87</v>
      </c>
      <c r="K403">
        <f t="shared" si="36"/>
        <v>3395.52</v>
      </c>
      <c r="L403">
        <v>0</v>
      </c>
      <c r="M403">
        <f t="shared" si="37"/>
        <v>0</v>
      </c>
      <c r="N403">
        <f t="shared" si="38"/>
        <v>3395.52</v>
      </c>
      <c r="O403">
        <f t="shared" si="39"/>
        <v>2426.4900000000002</v>
      </c>
      <c r="P403">
        <f t="shared" si="40"/>
        <v>969.02999999999975</v>
      </c>
      <c r="Q403">
        <f t="shared" si="41"/>
        <v>28.538486005089052</v>
      </c>
      <c r="R403" t="s">
        <v>49</v>
      </c>
      <c r="S403" t="s">
        <v>41</v>
      </c>
      <c r="T403">
        <v>4.8</v>
      </c>
    </row>
    <row r="404" spans="1:20">
      <c r="A404" t="s">
        <v>472</v>
      </c>
      <c r="B404" s="3">
        <v>45581</v>
      </c>
      <c r="C404" t="s">
        <v>19</v>
      </c>
      <c r="D404" t="s">
        <v>28</v>
      </c>
      <c r="E404" t="s">
        <v>68</v>
      </c>
      <c r="F404" t="s">
        <v>24</v>
      </c>
      <c r="G404" t="s">
        <v>46</v>
      </c>
      <c r="H404">
        <v>3</v>
      </c>
      <c r="I404">
        <v>18.920000000000002</v>
      </c>
      <c r="J404">
        <v>11.33</v>
      </c>
      <c r="K404">
        <f t="shared" si="36"/>
        <v>56.760000000000005</v>
      </c>
      <c r="L404">
        <v>0</v>
      </c>
      <c r="M404">
        <f t="shared" si="37"/>
        <v>0</v>
      </c>
      <c r="N404">
        <f t="shared" si="38"/>
        <v>56.760000000000005</v>
      </c>
      <c r="O404">
        <f t="shared" si="39"/>
        <v>33.99</v>
      </c>
      <c r="P404">
        <f t="shared" si="40"/>
        <v>22.770000000000003</v>
      </c>
      <c r="Q404">
        <f t="shared" si="41"/>
        <v>40.116279069767444</v>
      </c>
      <c r="R404" t="s">
        <v>49</v>
      </c>
      <c r="S404" t="s">
        <v>47</v>
      </c>
      <c r="T404">
        <v>3.6</v>
      </c>
    </row>
    <row r="405" spans="1:20">
      <c r="A405" t="s">
        <v>473</v>
      </c>
      <c r="B405" s="3">
        <v>45582</v>
      </c>
      <c r="C405" t="s">
        <v>19</v>
      </c>
      <c r="D405" t="s">
        <v>30</v>
      </c>
      <c r="E405" t="s">
        <v>68</v>
      </c>
      <c r="F405" t="s">
        <v>20</v>
      </c>
      <c r="G405" t="s">
        <v>36</v>
      </c>
      <c r="H405">
        <v>23</v>
      </c>
      <c r="I405">
        <v>797.24</v>
      </c>
      <c r="J405">
        <v>313.62</v>
      </c>
      <c r="K405">
        <f t="shared" si="36"/>
        <v>18336.52</v>
      </c>
      <c r="L405">
        <v>0.1</v>
      </c>
      <c r="M405">
        <f t="shared" si="37"/>
        <v>1833.652</v>
      </c>
      <c r="N405">
        <f t="shared" si="38"/>
        <v>16502.868000000002</v>
      </c>
      <c r="O405">
        <f t="shared" si="39"/>
        <v>7213.26</v>
      </c>
      <c r="P405">
        <f t="shared" si="40"/>
        <v>9289.608000000002</v>
      </c>
      <c r="Q405">
        <f t="shared" si="41"/>
        <v>56.290870168748853</v>
      </c>
      <c r="R405" t="s">
        <v>49</v>
      </c>
      <c r="S405" t="s">
        <v>41</v>
      </c>
      <c r="T405">
        <v>3.9</v>
      </c>
    </row>
    <row r="406" spans="1:20">
      <c r="A406" t="s">
        <v>474</v>
      </c>
      <c r="B406" s="3">
        <v>45582</v>
      </c>
      <c r="C406" t="s">
        <v>19</v>
      </c>
      <c r="D406" t="s">
        <v>26</v>
      </c>
      <c r="E406" t="s">
        <v>86</v>
      </c>
      <c r="F406" t="s">
        <v>23</v>
      </c>
      <c r="G406" t="s">
        <v>37</v>
      </c>
      <c r="H406">
        <v>27</v>
      </c>
      <c r="I406">
        <v>853.47</v>
      </c>
      <c r="J406">
        <v>684.48</v>
      </c>
      <c r="K406">
        <f t="shared" si="36"/>
        <v>23043.690000000002</v>
      </c>
      <c r="L406">
        <v>0.1</v>
      </c>
      <c r="M406">
        <f t="shared" si="37"/>
        <v>2304.3690000000001</v>
      </c>
      <c r="N406">
        <f t="shared" si="38"/>
        <v>20739.321000000004</v>
      </c>
      <c r="O406">
        <f t="shared" si="39"/>
        <v>18480.96</v>
      </c>
      <c r="P406">
        <f t="shared" si="40"/>
        <v>2258.3610000000044</v>
      </c>
      <c r="Q406">
        <f t="shared" si="41"/>
        <v>10.889271640088911</v>
      </c>
      <c r="R406" t="s">
        <v>50</v>
      </c>
      <c r="S406" t="s">
        <v>45</v>
      </c>
      <c r="T406">
        <v>4.0999999999999996</v>
      </c>
    </row>
    <row r="407" spans="1:20">
      <c r="A407" t="s">
        <v>475</v>
      </c>
      <c r="B407" s="3">
        <v>45583</v>
      </c>
      <c r="C407" t="s">
        <v>19</v>
      </c>
      <c r="D407" t="s">
        <v>26</v>
      </c>
      <c r="E407" t="s">
        <v>70</v>
      </c>
      <c r="F407" t="s">
        <v>24</v>
      </c>
      <c r="G407" t="s">
        <v>40</v>
      </c>
      <c r="H407">
        <v>48</v>
      </c>
      <c r="I407">
        <v>226.2</v>
      </c>
      <c r="J407">
        <v>117.83</v>
      </c>
      <c r="K407">
        <f t="shared" si="36"/>
        <v>10857.599999999999</v>
      </c>
      <c r="L407">
        <v>0.05</v>
      </c>
      <c r="M407">
        <f t="shared" si="37"/>
        <v>542.88</v>
      </c>
      <c r="N407">
        <f t="shared" si="38"/>
        <v>10314.719999999999</v>
      </c>
      <c r="O407">
        <f t="shared" si="39"/>
        <v>5655.84</v>
      </c>
      <c r="P407">
        <f t="shared" si="40"/>
        <v>4658.8799999999992</v>
      </c>
      <c r="Q407">
        <f t="shared" si="41"/>
        <v>45.167294895062589</v>
      </c>
      <c r="R407" t="s">
        <v>50</v>
      </c>
      <c r="S407" t="s">
        <v>45</v>
      </c>
      <c r="T407">
        <v>5</v>
      </c>
    </row>
    <row r="408" spans="1:20">
      <c r="A408" t="s">
        <v>476</v>
      </c>
      <c r="B408" s="3">
        <v>45583</v>
      </c>
      <c r="C408" t="s">
        <v>19</v>
      </c>
      <c r="D408" t="s">
        <v>26</v>
      </c>
      <c r="E408" t="s">
        <v>86</v>
      </c>
      <c r="F408" t="s">
        <v>24</v>
      </c>
      <c r="G408" t="s">
        <v>29</v>
      </c>
      <c r="H408">
        <v>48</v>
      </c>
      <c r="I408">
        <v>930.74</v>
      </c>
      <c r="J408">
        <v>579.07000000000005</v>
      </c>
      <c r="K408">
        <f t="shared" si="36"/>
        <v>44675.520000000004</v>
      </c>
      <c r="L408">
        <v>0.15</v>
      </c>
      <c r="M408">
        <f t="shared" si="37"/>
        <v>6701.3280000000004</v>
      </c>
      <c r="N408">
        <f t="shared" si="38"/>
        <v>37974.192000000003</v>
      </c>
      <c r="O408">
        <f t="shared" si="39"/>
        <v>27795.360000000001</v>
      </c>
      <c r="P408">
        <f t="shared" si="40"/>
        <v>10178.832000000002</v>
      </c>
      <c r="Q408">
        <f t="shared" si="41"/>
        <v>26.804604558801415</v>
      </c>
      <c r="R408" t="s">
        <v>49</v>
      </c>
      <c r="S408" t="s">
        <v>47</v>
      </c>
      <c r="T408">
        <v>3.3</v>
      </c>
    </row>
    <row r="409" spans="1:20">
      <c r="A409" t="s">
        <v>477</v>
      </c>
      <c r="B409" s="3">
        <v>45583</v>
      </c>
      <c r="C409" t="s">
        <v>19</v>
      </c>
      <c r="D409" t="s">
        <v>28</v>
      </c>
      <c r="E409" t="s">
        <v>68</v>
      </c>
      <c r="F409" t="s">
        <v>20</v>
      </c>
      <c r="G409" t="s">
        <v>34</v>
      </c>
      <c r="H409">
        <v>6</v>
      </c>
      <c r="I409">
        <v>1078.93</v>
      </c>
      <c r="J409">
        <v>644.42999999999995</v>
      </c>
      <c r="K409">
        <f t="shared" si="36"/>
        <v>6473.58</v>
      </c>
      <c r="L409">
        <v>0.15</v>
      </c>
      <c r="M409">
        <f t="shared" si="37"/>
        <v>971.03699999999992</v>
      </c>
      <c r="N409">
        <f t="shared" si="38"/>
        <v>5502.5429999999997</v>
      </c>
      <c r="O409">
        <f t="shared" si="39"/>
        <v>3866.58</v>
      </c>
      <c r="P409">
        <f t="shared" si="40"/>
        <v>1635.9629999999997</v>
      </c>
      <c r="Q409">
        <f t="shared" si="41"/>
        <v>29.73103526860217</v>
      </c>
      <c r="R409" t="s">
        <v>49</v>
      </c>
      <c r="S409" t="s">
        <v>47</v>
      </c>
      <c r="T409">
        <v>3.7</v>
      </c>
    </row>
    <row r="410" spans="1:20">
      <c r="A410" t="s">
        <v>478</v>
      </c>
      <c r="B410" s="3">
        <v>45584</v>
      </c>
      <c r="C410" t="s">
        <v>19</v>
      </c>
      <c r="D410" t="s">
        <v>26</v>
      </c>
      <c r="E410" t="s">
        <v>68</v>
      </c>
      <c r="F410" t="s">
        <v>20</v>
      </c>
      <c r="G410" t="s">
        <v>31</v>
      </c>
      <c r="H410">
        <v>12</v>
      </c>
      <c r="I410">
        <v>1430.44</v>
      </c>
      <c r="J410">
        <v>534.49</v>
      </c>
      <c r="K410">
        <f t="shared" si="36"/>
        <v>17165.28</v>
      </c>
      <c r="L410">
        <v>0.05</v>
      </c>
      <c r="M410">
        <f t="shared" si="37"/>
        <v>858.26400000000001</v>
      </c>
      <c r="N410">
        <f t="shared" si="38"/>
        <v>16307.016</v>
      </c>
      <c r="O410">
        <f t="shared" si="39"/>
        <v>6413.88</v>
      </c>
      <c r="P410">
        <f t="shared" si="40"/>
        <v>9893.1359999999986</v>
      </c>
      <c r="Q410">
        <f t="shared" si="41"/>
        <v>60.667972607618701</v>
      </c>
      <c r="R410" t="s">
        <v>51</v>
      </c>
      <c r="S410" t="s">
        <v>41</v>
      </c>
      <c r="T410">
        <v>4.5999999999999996</v>
      </c>
    </row>
    <row r="411" spans="1:20">
      <c r="A411" t="s">
        <v>479</v>
      </c>
      <c r="B411" s="3">
        <v>45584</v>
      </c>
      <c r="C411" t="s">
        <v>19</v>
      </c>
      <c r="D411" t="s">
        <v>30</v>
      </c>
      <c r="E411" t="s">
        <v>68</v>
      </c>
      <c r="F411" t="s">
        <v>23</v>
      </c>
      <c r="G411" t="s">
        <v>38</v>
      </c>
      <c r="H411">
        <v>9</v>
      </c>
      <c r="I411">
        <v>895.18</v>
      </c>
      <c r="J411">
        <v>748.65</v>
      </c>
      <c r="K411">
        <f t="shared" si="36"/>
        <v>8056.62</v>
      </c>
      <c r="L411">
        <v>0.2</v>
      </c>
      <c r="M411">
        <f t="shared" si="37"/>
        <v>1611.3240000000001</v>
      </c>
      <c r="N411">
        <f t="shared" si="38"/>
        <v>6445.2960000000003</v>
      </c>
      <c r="O411">
        <f t="shared" si="39"/>
        <v>6737.8499999999995</v>
      </c>
      <c r="P411">
        <f t="shared" si="40"/>
        <v>-292.55399999999918</v>
      </c>
      <c r="Q411">
        <f t="shared" si="41"/>
        <v>-4.5390312562836401</v>
      </c>
      <c r="R411" t="s">
        <v>49</v>
      </c>
      <c r="S411" t="s">
        <v>41</v>
      </c>
      <c r="T411">
        <v>3.9</v>
      </c>
    </row>
    <row r="412" spans="1:20">
      <c r="A412" t="s">
        <v>480</v>
      </c>
      <c r="B412" s="3">
        <v>45584</v>
      </c>
      <c r="C412" t="s">
        <v>19</v>
      </c>
      <c r="D412" t="s">
        <v>32</v>
      </c>
      <c r="E412" t="s">
        <v>68</v>
      </c>
      <c r="F412" t="s">
        <v>20</v>
      </c>
      <c r="G412" t="s">
        <v>31</v>
      </c>
      <c r="H412">
        <v>4</v>
      </c>
      <c r="I412">
        <v>452.57</v>
      </c>
      <c r="J412">
        <v>235.41</v>
      </c>
      <c r="K412">
        <f t="shared" si="36"/>
        <v>1810.28</v>
      </c>
      <c r="L412">
        <v>0</v>
      </c>
      <c r="M412">
        <f t="shared" si="37"/>
        <v>0</v>
      </c>
      <c r="N412">
        <f t="shared" si="38"/>
        <v>1810.28</v>
      </c>
      <c r="O412">
        <f t="shared" si="39"/>
        <v>941.64</v>
      </c>
      <c r="P412">
        <f t="shared" si="40"/>
        <v>868.64</v>
      </c>
      <c r="Q412">
        <f t="shared" si="41"/>
        <v>47.983737322403165</v>
      </c>
      <c r="R412" t="s">
        <v>50</v>
      </c>
      <c r="S412" t="s">
        <v>41</v>
      </c>
      <c r="T412">
        <v>3.9</v>
      </c>
    </row>
    <row r="413" spans="1:20">
      <c r="A413" t="s">
        <v>481</v>
      </c>
      <c r="B413" s="3">
        <v>45585</v>
      </c>
      <c r="C413" t="s">
        <v>19</v>
      </c>
      <c r="D413" t="s">
        <v>26</v>
      </c>
      <c r="E413" t="s">
        <v>68</v>
      </c>
      <c r="F413" t="s">
        <v>23</v>
      </c>
      <c r="G413" t="s">
        <v>44</v>
      </c>
      <c r="H413">
        <v>4</v>
      </c>
      <c r="I413">
        <v>544.14</v>
      </c>
      <c r="J413">
        <v>384.97</v>
      </c>
      <c r="K413">
        <f t="shared" si="36"/>
        <v>2176.56</v>
      </c>
      <c r="L413">
        <v>0</v>
      </c>
      <c r="M413">
        <f t="shared" si="37"/>
        <v>0</v>
      </c>
      <c r="N413">
        <f t="shared" si="38"/>
        <v>2176.56</v>
      </c>
      <c r="O413">
        <f t="shared" si="39"/>
        <v>1539.88</v>
      </c>
      <c r="P413">
        <f t="shared" si="40"/>
        <v>636.67999999999984</v>
      </c>
      <c r="Q413">
        <f t="shared" si="41"/>
        <v>29.251663174918214</v>
      </c>
      <c r="R413" t="s">
        <v>49</v>
      </c>
      <c r="S413" t="s">
        <v>41</v>
      </c>
      <c r="T413">
        <v>4.4000000000000004</v>
      </c>
    </row>
    <row r="414" spans="1:20">
      <c r="A414" t="s">
        <v>482</v>
      </c>
      <c r="B414" s="3">
        <v>45585</v>
      </c>
      <c r="C414" t="s">
        <v>19</v>
      </c>
      <c r="D414" t="s">
        <v>28</v>
      </c>
      <c r="E414" t="s">
        <v>70</v>
      </c>
      <c r="F414" t="s">
        <v>20</v>
      </c>
      <c r="G414" t="s">
        <v>36</v>
      </c>
      <c r="H414">
        <v>14</v>
      </c>
      <c r="I414">
        <v>834.58</v>
      </c>
      <c r="J414">
        <v>302.41000000000003</v>
      </c>
      <c r="K414">
        <f t="shared" si="36"/>
        <v>11684.12</v>
      </c>
      <c r="L414">
        <v>0</v>
      </c>
      <c r="M414">
        <f t="shared" si="37"/>
        <v>0</v>
      </c>
      <c r="N414">
        <f t="shared" si="38"/>
        <v>11684.12</v>
      </c>
      <c r="O414">
        <f t="shared" si="39"/>
        <v>4233.7400000000007</v>
      </c>
      <c r="P414">
        <f t="shared" si="40"/>
        <v>7450.38</v>
      </c>
      <c r="Q414">
        <f t="shared" si="41"/>
        <v>63.765007548707132</v>
      </c>
      <c r="R414" t="s">
        <v>49</v>
      </c>
      <c r="S414" t="s">
        <v>41</v>
      </c>
      <c r="T414">
        <v>3.1</v>
      </c>
    </row>
    <row r="415" spans="1:20">
      <c r="A415" t="s">
        <v>483</v>
      </c>
      <c r="B415" s="3">
        <v>45586</v>
      </c>
      <c r="C415" t="s">
        <v>19</v>
      </c>
      <c r="D415" t="s">
        <v>26</v>
      </c>
      <c r="E415" t="s">
        <v>70</v>
      </c>
      <c r="F415" t="s">
        <v>24</v>
      </c>
      <c r="G415" t="s">
        <v>29</v>
      </c>
      <c r="H415">
        <v>24</v>
      </c>
      <c r="I415">
        <v>549.07000000000005</v>
      </c>
      <c r="J415">
        <v>321.38</v>
      </c>
      <c r="K415">
        <f t="shared" si="36"/>
        <v>13177.68</v>
      </c>
      <c r="L415">
        <v>0</v>
      </c>
      <c r="M415">
        <f t="shared" si="37"/>
        <v>0</v>
      </c>
      <c r="N415">
        <f t="shared" si="38"/>
        <v>13177.68</v>
      </c>
      <c r="O415">
        <f t="shared" si="39"/>
        <v>7713.12</v>
      </c>
      <c r="P415">
        <f t="shared" si="40"/>
        <v>5464.56</v>
      </c>
      <c r="Q415">
        <f t="shared" si="41"/>
        <v>41.468300945234674</v>
      </c>
      <c r="R415" t="s">
        <v>49</v>
      </c>
      <c r="S415" t="s">
        <v>41</v>
      </c>
      <c r="T415">
        <v>3.3</v>
      </c>
    </row>
    <row r="416" spans="1:20">
      <c r="A416" t="s">
        <v>484</v>
      </c>
      <c r="B416" s="3">
        <v>45588</v>
      </c>
      <c r="C416" t="s">
        <v>19</v>
      </c>
      <c r="D416" t="s">
        <v>30</v>
      </c>
      <c r="E416" t="s">
        <v>68</v>
      </c>
      <c r="F416" t="s">
        <v>20</v>
      </c>
      <c r="G416" t="s">
        <v>36</v>
      </c>
      <c r="H416">
        <v>26</v>
      </c>
      <c r="I416">
        <v>1112.07</v>
      </c>
      <c r="J416">
        <v>491.58</v>
      </c>
      <c r="K416">
        <f t="shared" si="36"/>
        <v>28913.82</v>
      </c>
      <c r="L416">
        <v>0.05</v>
      </c>
      <c r="M416">
        <f t="shared" si="37"/>
        <v>1445.691</v>
      </c>
      <c r="N416">
        <f t="shared" si="38"/>
        <v>27468.129000000001</v>
      </c>
      <c r="O416">
        <f t="shared" si="39"/>
        <v>12781.08</v>
      </c>
      <c r="P416">
        <f t="shared" si="40"/>
        <v>14687.049000000001</v>
      </c>
      <c r="Q416">
        <f t="shared" si="41"/>
        <v>53.469419049255229</v>
      </c>
      <c r="R416" t="s">
        <v>50</v>
      </c>
      <c r="S416" t="s">
        <v>45</v>
      </c>
      <c r="T416">
        <v>4.5999999999999996</v>
      </c>
    </row>
    <row r="417" spans="1:20">
      <c r="A417" t="s">
        <v>485</v>
      </c>
      <c r="B417" s="3">
        <v>45588</v>
      </c>
      <c r="C417" t="s">
        <v>19</v>
      </c>
      <c r="D417" t="s">
        <v>26</v>
      </c>
      <c r="E417" t="s">
        <v>68</v>
      </c>
      <c r="F417" t="s">
        <v>22</v>
      </c>
      <c r="G417" t="s">
        <v>33</v>
      </c>
      <c r="H417">
        <v>39</v>
      </c>
      <c r="I417">
        <v>339.81</v>
      </c>
      <c r="J417">
        <v>241.37</v>
      </c>
      <c r="K417">
        <f t="shared" si="36"/>
        <v>13252.59</v>
      </c>
      <c r="L417">
        <v>0.2</v>
      </c>
      <c r="M417">
        <f t="shared" si="37"/>
        <v>2650.518</v>
      </c>
      <c r="N417">
        <f t="shared" si="38"/>
        <v>10602.072</v>
      </c>
      <c r="O417">
        <f t="shared" si="39"/>
        <v>9413.43</v>
      </c>
      <c r="P417">
        <f t="shared" si="40"/>
        <v>1188.6419999999998</v>
      </c>
      <c r="Q417">
        <f t="shared" si="41"/>
        <v>11.211412259792235</v>
      </c>
      <c r="R417" t="s">
        <v>51</v>
      </c>
      <c r="S417" t="s">
        <v>43</v>
      </c>
      <c r="T417">
        <v>3.9</v>
      </c>
    </row>
    <row r="418" spans="1:20">
      <c r="A418" t="s">
        <v>486</v>
      </c>
      <c r="B418" s="3">
        <v>45589</v>
      </c>
      <c r="C418" t="s">
        <v>19</v>
      </c>
      <c r="D418" t="s">
        <v>32</v>
      </c>
      <c r="E418" t="s">
        <v>68</v>
      </c>
      <c r="F418" t="s">
        <v>24</v>
      </c>
      <c r="G418" t="s">
        <v>29</v>
      </c>
      <c r="H418">
        <v>28</v>
      </c>
      <c r="I418">
        <v>957.73</v>
      </c>
      <c r="J418">
        <v>614.25</v>
      </c>
      <c r="K418">
        <f t="shared" si="36"/>
        <v>26816.440000000002</v>
      </c>
      <c r="L418">
        <v>0</v>
      </c>
      <c r="M418">
        <f t="shared" si="37"/>
        <v>0</v>
      </c>
      <c r="N418">
        <f t="shared" si="38"/>
        <v>26816.440000000002</v>
      </c>
      <c r="O418">
        <f t="shared" si="39"/>
        <v>17199</v>
      </c>
      <c r="P418">
        <f t="shared" si="40"/>
        <v>9617.4400000000023</v>
      </c>
      <c r="Q418">
        <f t="shared" si="41"/>
        <v>35.86397001242522</v>
      </c>
      <c r="R418" t="s">
        <v>49</v>
      </c>
      <c r="S418" t="s">
        <v>41</v>
      </c>
      <c r="T418">
        <v>4.0999999999999996</v>
      </c>
    </row>
    <row r="419" spans="1:20">
      <c r="A419" t="s">
        <v>487</v>
      </c>
      <c r="B419" s="3">
        <v>45589</v>
      </c>
      <c r="C419" t="s">
        <v>19</v>
      </c>
      <c r="D419" t="s">
        <v>28</v>
      </c>
      <c r="E419" t="s">
        <v>68</v>
      </c>
      <c r="F419" t="s">
        <v>23</v>
      </c>
      <c r="G419" t="s">
        <v>38</v>
      </c>
      <c r="H419">
        <v>23</v>
      </c>
      <c r="I419">
        <v>1145.79</v>
      </c>
      <c r="J419">
        <v>917.43</v>
      </c>
      <c r="K419">
        <f t="shared" si="36"/>
        <v>26353.17</v>
      </c>
      <c r="L419">
        <v>0</v>
      </c>
      <c r="M419">
        <f t="shared" si="37"/>
        <v>0</v>
      </c>
      <c r="N419">
        <f t="shared" si="38"/>
        <v>26353.17</v>
      </c>
      <c r="O419">
        <f t="shared" si="39"/>
        <v>21100.89</v>
      </c>
      <c r="P419">
        <f t="shared" si="40"/>
        <v>5252.2799999999988</v>
      </c>
      <c r="Q419">
        <f t="shared" si="41"/>
        <v>19.93035372974105</v>
      </c>
      <c r="R419" t="s">
        <v>49</v>
      </c>
      <c r="S419" t="s">
        <v>43</v>
      </c>
      <c r="T419">
        <v>3.8</v>
      </c>
    </row>
    <row r="420" spans="1:20">
      <c r="A420" t="s">
        <v>488</v>
      </c>
      <c r="B420" s="3">
        <v>45590</v>
      </c>
      <c r="C420" t="s">
        <v>19</v>
      </c>
      <c r="D420" t="s">
        <v>28</v>
      </c>
      <c r="E420" t="s">
        <v>68</v>
      </c>
      <c r="F420" t="s">
        <v>23</v>
      </c>
      <c r="G420" t="s">
        <v>38</v>
      </c>
      <c r="H420">
        <v>34</v>
      </c>
      <c r="I420">
        <v>92.66</v>
      </c>
      <c r="J420">
        <v>69.41</v>
      </c>
      <c r="K420">
        <f t="shared" si="36"/>
        <v>3150.44</v>
      </c>
      <c r="L420">
        <v>0.05</v>
      </c>
      <c r="M420">
        <f t="shared" si="37"/>
        <v>157.52200000000002</v>
      </c>
      <c r="N420">
        <f t="shared" si="38"/>
        <v>2992.9180000000001</v>
      </c>
      <c r="O420">
        <f t="shared" si="39"/>
        <v>2359.94</v>
      </c>
      <c r="P420">
        <f t="shared" si="40"/>
        <v>632.97800000000007</v>
      </c>
      <c r="Q420">
        <f t="shared" si="41"/>
        <v>21.1491928612812</v>
      </c>
      <c r="R420" t="s">
        <v>49</v>
      </c>
      <c r="S420" t="s">
        <v>41</v>
      </c>
      <c r="T420">
        <v>4.0999999999999996</v>
      </c>
    </row>
    <row r="421" spans="1:20">
      <c r="A421" t="s">
        <v>489</v>
      </c>
      <c r="B421" s="3">
        <v>45590</v>
      </c>
      <c r="C421" t="s">
        <v>19</v>
      </c>
      <c r="D421" t="s">
        <v>26</v>
      </c>
      <c r="E421" t="s">
        <v>68</v>
      </c>
      <c r="F421" t="s">
        <v>24</v>
      </c>
      <c r="G421" t="s">
        <v>40</v>
      </c>
      <c r="H421">
        <v>22</v>
      </c>
      <c r="I421">
        <v>1294.1400000000001</v>
      </c>
      <c r="J421">
        <v>711.16</v>
      </c>
      <c r="K421">
        <f t="shared" si="36"/>
        <v>28471.08</v>
      </c>
      <c r="L421">
        <v>0.2</v>
      </c>
      <c r="M421">
        <f t="shared" si="37"/>
        <v>5694.2160000000003</v>
      </c>
      <c r="N421">
        <f t="shared" si="38"/>
        <v>22776.864000000001</v>
      </c>
      <c r="O421">
        <f t="shared" si="39"/>
        <v>15645.519999999999</v>
      </c>
      <c r="P421">
        <f t="shared" si="40"/>
        <v>7131.3440000000028</v>
      </c>
      <c r="Q421">
        <f t="shared" si="41"/>
        <v>31.309595561531221</v>
      </c>
      <c r="R421" t="s">
        <v>49</v>
      </c>
      <c r="S421" t="s">
        <v>41</v>
      </c>
      <c r="T421">
        <v>3.9</v>
      </c>
    </row>
    <row r="422" spans="1:20">
      <c r="A422" t="s">
        <v>490</v>
      </c>
      <c r="B422" s="3">
        <v>45591</v>
      </c>
      <c r="C422" t="s">
        <v>19</v>
      </c>
      <c r="D422" t="s">
        <v>28</v>
      </c>
      <c r="E422" t="s">
        <v>68</v>
      </c>
      <c r="F422" t="s">
        <v>23</v>
      </c>
      <c r="G422" t="s">
        <v>44</v>
      </c>
      <c r="H422">
        <v>15</v>
      </c>
      <c r="I422">
        <v>141.97999999999999</v>
      </c>
      <c r="J422">
        <v>103.82</v>
      </c>
      <c r="K422">
        <f t="shared" si="36"/>
        <v>2129.6999999999998</v>
      </c>
      <c r="L422">
        <v>0</v>
      </c>
      <c r="M422">
        <f t="shared" si="37"/>
        <v>0</v>
      </c>
      <c r="N422">
        <f t="shared" si="38"/>
        <v>2129.6999999999998</v>
      </c>
      <c r="O422">
        <f t="shared" si="39"/>
        <v>1557.3</v>
      </c>
      <c r="P422">
        <f t="shared" si="40"/>
        <v>572.39999999999986</v>
      </c>
      <c r="Q422">
        <f t="shared" si="41"/>
        <v>26.87702493308916</v>
      </c>
      <c r="R422" t="s">
        <v>49</v>
      </c>
      <c r="S422" t="s">
        <v>45</v>
      </c>
      <c r="T422">
        <v>4.7</v>
      </c>
    </row>
    <row r="423" spans="1:20">
      <c r="A423" t="s">
        <v>491</v>
      </c>
      <c r="B423" s="3">
        <v>45591</v>
      </c>
      <c r="C423" t="s">
        <v>19</v>
      </c>
      <c r="D423" t="s">
        <v>32</v>
      </c>
      <c r="E423" t="s">
        <v>86</v>
      </c>
      <c r="F423" t="s">
        <v>20</v>
      </c>
      <c r="G423" t="s">
        <v>34</v>
      </c>
      <c r="H423">
        <v>17</v>
      </c>
      <c r="I423">
        <v>1350.62</v>
      </c>
      <c r="J423">
        <v>543.75</v>
      </c>
      <c r="K423">
        <f t="shared" si="36"/>
        <v>22960.539999999997</v>
      </c>
      <c r="L423">
        <v>0.05</v>
      </c>
      <c r="M423">
        <f t="shared" si="37"/>
        <v>1148.0269999999998</v>
      </c>
      <c r="N423">
        <f t="shared" si="38"/>
        <v>21812.512999999999</v>
      </c>
      <c r="O423">
        <f t="shared" si="39"/>
        <v>9243.75</v>
      </c>
      <c r="P423">
        <f t="shared" si="40"/>
        <v>12568.762999999999</v>
      </c>
      <c r="Q423">
        <f t="shared" si="41"/>
        <v>57.621801761218428</v>
      </c>
      <c r="R423" t="s">
        <v>49</v>
      </c>
      <c r="S423" t="s">
        <v>43</v>
      </c>
      <c r="T423">
        <v>3.9</v>
      </c>
    </row>
    <row r="424" spans="1:20">
      <c r="A424" t="s">
        <v>492</v>
      </c>
      <c r="B424" s="3">
        <v>45591</v>
      </c>
      <c r="C424" t="s">
        <v>19</v>
      </c>
      <c r="D424" t="s">
        <v>30</v>
      </c>
      <c r="E424" t="s">
        <v>68</v>
      </c>
      <c r="F424" t="s">
        <v>22</v>
      </c>
      <c r="G424" t="s">
        <v>33</v>
      </c>
      <c r="H424">
        <v>48</v>
      </c>
      <c r="I424">
        <v>985.2</v>
      </c>
      <c r="J424">
        <v>770.19</v>
      </c>
      <c r="K424">
        <f t="shared" si="36"/>
        <v>47289.600000000006</v>
      </c>
      <c r="L424">
        <v>0</v>
      </c>
      <c r="M424">
        <f t="shared" si="37"/>
        <v>0</v>
      </c>
      <c r="N424">
        <f t="shared" si="38"/>
        <v>47289.600000000006</v>
      </c>
      <c r="O424">
        <f t="shared" si="39"/>
        <v>36969.120000000003</v>
      </c>
      <c r="P424">
        <f t="shared" si="40"/>
        <v>10320.480000000003</v>
      </c>
      <c r="Q424">
        <f t="shared" si="41"/>
        <v>21.823995127892818</v>
      </c>
      <c r="R424" t="s">
        <v>50</v>
      </c>
      <c r="S424" t="s">
        <v>45</v>
      </c>
      <c r="T424">
        <v>3.3</v>
      </c>
    </row>
    <row r="425" spans="1:20">
      <c r="A425" t="s">
        <v>493</v>
      </c>
      <c r="B425" s="3">
        <v>45592</v>
      </c>
      <c r="C425" t="s">
        <v>19</v>
      </c>
      <c r="D425" t="s">
        <v>28</v>
      </c>
      <c r="E425" t="s">
        <v>70</v>
      </c>
      <c r="F425" t="s">
        <v>20</v>
      </c>
      <c r="G425" t="s">
        <v>34</v>
      </c>
      <c r="H425">
        <v>18</v>
      </c>
      <c r="I425">
        <v>319.48</v>
      </c>
      <c r="J425">
        <v>152.19999999999999</v>
      </c>
      <c r="K425">
        <f t="shared" si="36"/>
        <v>5750.64</v>
      </c>
      <c r="L425">
        <v>0</v>
      </c>
      <c r="M425">
        <f t="shared" si="37"/>
        <v>0</v>
      </c>
      <c r="N425">
        <f t="shared" si="38"/>
        <v>5750.64</v>
      </c>
      <c r="O425">
        <f t="shared" si="39"/>
        <v>2739.6</v>
      </c>
      <c r="P425">
        <f t="shared" si="40"/>
        <v>3011.0400000000004</v>
      </c>
      <c r="Q425">
        <f t="shared" si="41"/>
        <v>52.360085138349824</v>
      </c>
      <c r="R425" t="s">
        <v>49</v>
      </c>
      <c r="S425" t="s">
        <v>41</v>
      </c>
      <c r="T425">
        <v>3.9</v>
      </c>
    </row>
    <row r="426" spans="1:20">
      <c r="A426" t="s">
        <v>494</v>
      </c>
      <c r="B426" s="3">
        <v>45593</v>
      </c>
      <c r="C426" t="s">
        <v>19</v>
      </c>
      <c r="D426" t="s">
        <v>26</v>
      </c>
      <c r="E426" t="s">
        <v>68</v>
      </c>
      <c r="F426" t="s">
        <v>23</v>
      </c>
      <c r="G426" t="s">
        <v>38</v>
      </c>
      <c r="H426">
        <v>42</v>
      </c>
      <c r="I426">
        <v>815.45</v>
      </c>
      <c r="J426">
        <v>686.09</v>
      </c>
      <c r="K426">
        <f t="shared" si="36"/>
        <v>34248.9</v>
      </c>
      <c r="L426">
        <v>0.25</v>
      </c>
      <c r="M426">
        <f t="shared" si="37"/>
        <v>8562.2250000000004</v>
      </c>
      <c r="N426">
        <f t="shared" si="38"/>
        <v>25686.675000000003</v>
      </c>
      <c r="O426">
        <f t="shared" si="39"/>
        <v>28815.780000000002</v>
      </c>
      <c r="P426">
        <f t="shared" si="40"/>
        <v>-3129.1049999999996</v>
      </c>
      <c r="Q426">
        <f t="shared" si="41"/>
        <v>-12.181821897929565</v>
      </c>
      <c r="R426" t="s">
        <v>49</v>
      </c>
      <c r="S426" t="s">
        <v>45</v>
      </c>
      <c r="T426">
        <v>5</v>
      </c>
    </row>
    <row r="427" spans="1:20">
      <c r="A427" t="s">
        <v>495</v>
      </c>
      <c r="B427" s="3">
        <v>45593</v>
      </c>
      <c r="C427" t="s">
        <v>19</v>
      </c>
      <c r="D427" t="s">
        <v>26</v>
      </c>
      <c r="E427" t="s">
        <v>68</v>
      </c>
      <c r="F427" t="s">
        <v>24</v>
      </c>
      <c r="G427" t="s">
        <v>29</v>
      </c>
      <c r="H427">
        <v>2</v>
      </c>
      <c r="I427">
        <v>16.559999999999999</v>
      </c>
      <c r="J427">
        <v>9.77</v>
      </c>
      <c r="K427">
        <f t="shared" si="36"/>
        <v>33.119999999999997</v>
      </c>
      <c r="L427">
        <v>0.25</v>
      </c>
      <c r="M427">
        <f t="shared" si="37"/>
        <v>8.2799999999999994</v>
      </c>
      <c r="N427">
        <f t="shared" si="38"/>
        <v>24.839999999999996</v>
      </c>
      <c r="O427">
        <f t="shared" si="39"/>
        <v>19.54</v>
      </c>
      <c r="P427">
        <f t="shared" si="40"/>
        <v>5.2999999999999972</v>
      </c>
      <c r="Q427">
        <f t="shared" si="41"/>
        <v>21.336553945249591</v>
      </c>
      <c r="R427" t="s">
        <v>51</v>
      </c>
      <c r="S427" t="s">
        <v>43</v>
      </c>
      <c r="T427">
        <v>3.1</v>
      </c>
    </row>
    <row r="428" spans="1:20">
      <c r="A428" t="s">
        <v>496</v>
      </c>
      <c r="B428" s="3">
        <v>45593</v>
      </c>
      <c r="C428" t="s">
        <v>19</v>
      </c>
      <c r="D428" t="s">
        <v>32</v>
      </c>
      <c r="E428" t="s">
        <v>68</v>
      </c>
      <c r="F428" t="s">
        <v>24</v>
      </c>
      <c r="G428" t="s">
        <v>40</v>
      </c>
      <c r="H428">
        <v>29</v>
      </c>
      <c r="I428">
        <v>915.65</v>
      </c>
      <c r="J428">
        <v>560.1</v>
      </c>
      <c r="K428">
        <f t="shared" si="36"/>
        <v>26553.85</v>
      </c>
      <c r="L428">
        <v>0</v>
      </c>
      <c r="M428">
        <f t="shared" si="37"/>
        <v>0</v>
      </c>
      <c r="N428">
        <f t="shared" si="38"/>
        <v>26553.85</v>
      </c>
      <c r="O428">
        <f t="shared" si="39"/>
        <v>16242.900000000001</v>
      </c>
      <c r="P428">
        <f t="shared" si="40"/>
        <v>10310.949999999997</v>
      </c>
      <c r="Q428">
        <f t="shared" si="41"/>
        <v>38.830339103369184</v>
      </c>
      <c r="R428" t="s">
        <v>49</v>
      </c>
      <c r="S428" t="s">
        <v>43</v>
      </c>
      <c r="T428">
        <v>4.5</v>
      </c>
    </row>
    <row r="429" spans="1:20">
      <c r="A429" t="s">
        <v>497</v>
      </c>
      <c r="B429" s="3">
        <v>45593</v>
      </c>
      <c r="C429" t="s">
        <v>19</v>
      </c>
      <c r="D429" t="s">
        <v>30</v>
      </c>
      <c r="E429" t="s">
        <v>68</v>
      </c>
      <c r="F429" t="s">
        <v>23</v>
      </c>
      <c r="G429" t="s">
        <v>44</v>
      </c>
      <c r="H429">
        <v>32</v>
      </c>
      <c r="I429">
        <v>1379.85</v>
      </c>
      <c r="J429">
        <v>989.14</v>
      </c>
      <c r="K429">
        <f t="shared" si="36"/>
        <v>44155.199999999997</v>
      </c>
      <c r="L429">
        <v>0.25</v>
      </c>
      <c r="M429">
        <f t="shared" si="37"/>
        <v>11038.8</v>
      </c>
      <c r="N429">
        <f t="shared" si="38"/>
        <v>33116.399999999994</v>
      </c>
      <c r="O429">
        <f t="shared" si="39"/>
        <v>31652.48</v>
      </c>
      <c r="P429">
        <f t="shared" si="40"/>
        <v>1463.9199999999946</v>
      </c>
      <c r="Q429">
        <f t="shared" si="41"/>
        <v>4.4205288014397546</v>
      </c>
      <c r="R429" t="s">
        <v>51</v>
      </c>
      <c r="S429" t="s">
        <v>43</v>
      </c>
      <c r="T429">
        <v>4.8</v>
      </c>
    </row>
    <row r="430" spans="1:20">
      <c r="A430" t="s">
        <v>498</v>
      </c>
      <c r="B430" s="3">
        <v>45593</v>
      </c>
      <c r="C430" t="s">
        <v>19</v>
      </c>
      <c r="D430" t="s">
        <v>26</v>
      </c>
      <c r="E430" t="s">
        <v>68</v>
      </c>
      <c r="F430" t="s">
        <v>24</v>
      </c>
      <c r="G430" t="s">
        <v>46</v>
      </c>
      <c r="H430">
        <v>50</v>
      </c>
      <c r="I430">
        <v>512.67999999999995</v>
      </c>
      <c r="J430">
        <v>322.89</v>
      </c>
      <c r="K430">
        <f t="shared" si="36"/>
        <v>25633.999999999996</v>
      </c>
      <c r="L430">
        <v>0.1</v>
      </c>
      <c r="M430">
        <f t="shared" si="37"/>
        <v>2563.3999999999996</v>
      </c>
      <c r="N430">
        <f t="shared" si="38"/>
        <v>23070.6</v>
      </c>
      <c r="O430">
        <f t="shared" si="39"/>
        <v>16144.5</v>
      </c>
      <c r="P430">
        <f t="shared" si="40"/>
        <v>6926.0999999999985</v>
      </c>
      <c r="Q430">
        <f t="shared" si="41"/>
        <v>30.021325843281055</v>
      </c>
      <c r="R430" t="s">
        <v>49</v>
      </c>
      <c r="S430" t="s">
        <v>47</v>
      </c>
      <c r="T430">
        <v>3.1</v>
      </c>
    </row>
    <row r="431" spans="1:20">
      <c r="A431" t="s">
        <v>499</v>
      </c>
      <c r="B431" s="3">
        <v>45595</v>
      </c>
      <c r="C431" t="s">
        <v>19</v>
      </c>
      <c r="D431" t="s">
        <v>30</v>
      </c>
      <c r="E431" t="s">
        <v>70</v>
      </c>
      <c r="F431" t="s">
        <v>23</v>
      </c>
      <c r="G431" t="s">
        <v>37</v>
      </c>
      <c r="H431">
        <v>48</v>
      </c>
      <c r="I431">
        <v>608.57000000000005</v>
      </c>
      <c r="J431">
        <v>506.6</v>
      </c>
      <c r="K431">
        <f t="shared" si="36"/>
        <v>29211.360000000001</v>
      </c>
      <c r="L431">
        <v>0.2</v>
      </c>
      <c r="M431">
        <f t="shared" si="37"/>
        <v>5842.2720000000008</v>
      </c>
      <c r="N431">
        <f t="shared" si="38"/>
        <v>23369.088</v>
      </c>
      <c r="O431">
        <f t="shared" si="39"/>
        <v>24316.800000000003</v>
      </c>
      <c r="P431">
        <f t="shared" si="40"/>
        <v>-947.71200000000317</v>
      </c>
      <c r="Q431">
        <f t="shared" si="41"/>
        <v>-4.0554085807713305</v>
      </c>
      <c r="R431" t="s">
        <v>51</v>
      </c>
      <c r="S431" t="s">
        <v>43</v>
      </c>
      <c r="T431">
        <v>4.7</v>
      </c>
    </row>
    <row r="432" spans="1:20">
      <c r="A432" t="s">
        <v>500</v>
      </c>
      <c r="B432" s="3">
        <v>45596</v>
      </c>
      <c r="C432" t="s">
        <v>19</v>
      </c>
      <c r="D432" t="s">
        <v>32</v>
      </c>
      <c r="E432" t="s">
        <v>70</v>
      </c>
      <c r="F432" t="s">
        <v>22</v>
      </c>
      <c r="G432" t="s">
        <v>35</v>
      </c>
      <c r="H432">
        <v>27</v>
      </c>
      <c r="I432">
        <v>137.43</v>
      </c>
      <c r="J432">
        <v>106.01</v>
      </c>
      <c r="K432">
        <f t="shared" si="36"/>
        <v>3710.61</v>
      </c>
      <c r="L432">
        <v>0.05</v>
      </c>
      <c r="M432">
        <f t="shared" si="37"/>
        <v>185.53050000000002</v>
      </c>
      <c r="N432">
        <f t="shared" si="38"/>
        <v>3525.0795000000003</v>
      </c>
      <c r="O432">
        <f t="shared" si="39"/>
        <v>2862.27</v>
      </c>
      <c r="P432">
        <f t="shared" si="40"/>
        <v>662.8095000000003</v>
      </c>
      <c r="Q432">
        <f t="shared" si="41"/>
        <v>18.8026823224838</v>
      </c>
      <c r="R432" t="s">
        <v>50</v>
      </c>
      <c r="S432" t="s">
        <v>43</v>
      </c>
      <c r="T432">
        <v>4.7</v>
      </c>
    </row>
    <row r="433" spans="1:20">
      <c r="A433" t="s">
        <v>501</v>
      </c>
      <c r="B433" s="3">
        <v>45597</v>
      </c>
      <c r="C433" t="s">
        <v>19</v>
      </c>
      <c r="D433" t="s">
        <v>28</v>
      </c>
      <c r="E433" t="s">
        <v>68</v>
      </c>
      <c r="F433" t="s">
        <v>22</v>
      </c>
      <c r="G433" t="s">
        <v>42</v>
      </c>
      <c r="H433">
        <v>43</v>
      </c>
      <c r="I433">
        <v>1026.1600000000001</v>
      </c>
      <c r="J433">
        <v>664.64</v>
      </c>
      <c r="K433">
        <f t="shared" si="36"/>
        <v>44124.880000000005</v>
      </c>
      <c r="L433">
        <v>0.05</v>
      </c>
      <c r="M433">
        <f t="shared" si="37"/>
        <v>2206.2440000000001</v>
      </c>
      <c r="N433">
        <f t="shared" si="38"/>
        <v>41918.636000000006</v>
      </c>
      <c r="O433">
        <f t="shared" si="39"/>
        <v>28579.52</v>
      </c>
      <c r="P433">
        <f t="shared" si="40"/>
        <v>13339.116000000005</v>
      </c>
      <c r="Q433">
        <f t="shared" si="41"/>
        <v>31.821445716888313</v>
      </c>
      <c r="R433" t="s">
        <v>50</v>
      </c>
      <c r="S433" t="s">
        <v>47</v>
      </c>
      <c r="T433">
        <v>3.8</v>
      </c>
    </row>
    <row r="434" spans="1:20">
      <c r="A434" t="s">
        <v>502</v>
      </c>
      <c r="B434" s="3">
        <v>45597</v>
      </c>
      <c r="C434" t="s">
        <v>19</v>
      </c>
      <c r="D434" t="s">
        <v>32</v>
      </c>
      <c r="E434" t="s">
        <v>68</v>
      </c>
      <c r="F434" t="s">
        <v>22</v>
      </c>
      <c r="G434" t="s">
        <v>35</v>
      </c>
      <c r="H434">
        <v>25</v>
      </c>
      <c r="I434">
        <v>841.51</v>
      </c>
      <c r="J434">
        <v>569.16</v>
      </c>
      <c r="K434">
        <f t="shared" si="36"/>
        <v>21037.75</v>
      </c>
      <c r="L434">
        <v>0.05</v>
      </c>
      <c r="M434">
        <f t="shared" si="37"/>
        <v>1051.8875</v>
      </c>
      <c r="N434">
        <f t="shared" si="38"/>
        <v>19985.862499999999</v>
      </c>
      <c r="O434">
        <f t="shared" si="39"/>
        <v>14229</v>
      </c>
      <c r="P434">
        <f t="shared" si="40"/>
        <v>5756.8624999999993</v>
      </c>
      <c r="Q434">
        <f t="shared" si="41"/>
        <v>28.804673803795055</v>
      </c>
      <c r="R434" t="s">
        <v>51</v>
      </c>
      <c r="S434" t="s">
        <v>45</v>
      </c>
      <c r="T434">
        <v>4.7</v>
      </c>
    </row>
    <row r="435" spans="1:20">
      <c r="A435" t="s">
        <v>503</v>
      </c>
      <c r="B435" s="3">
        <v>45598</v>
      </c>
      <c r="C435" t="s">
        <v>19</v>
      </c>
      <c r="D435" t="s">
        <v>30</v>
      </c>
      <c r="E435" t="s">
        <v>86</v>
      </c>
      <c r="F435" t="s">
        <v>23</v>
      </c>
      <c r="G435" t="s">
        <v>38</v>
      </c>
      <c r="H435">
        <v>24</v>
      </c>
      <c r="I435">
        <v>713.42</v>
      </c>
      <c r="J435">
        <v>595.59</v>
      </c>
      <c r="K435">
        <f t="shared" si="36"/>
        <v>17122.079999999998</v>
      </c>
      <c r="L435">
        <v>0.1</v>
      </c>
      <c r="M435">
        <f t="shared" si="37"/>
        <v>1712.2079999999999</v>
      </c>
      <c r="N435">
        <f t="shared" si="38"/>
        <v>15409.871999999998</v>
      </c>
      <c r="O435">
        <f t="shared" si="39"/>
        <v>14294.16</v>
      </c>
      <c r="P435">
        <f t="shared" si="40"/>
        <v>1115.7119999999977</v>
      </c>
      <c r="Q435">
        <f t="shared" si="41"/>
        <v>7.2402418397764627</v>
      </c>
      <c r="R435" t="s">
        <v>49</v>
      </c>
      <c r="S435" t="s">
        <v>41</v>
      </c>
      <c r="T435">
        <v>3.1</v>
      </c>
    </row>
    <row r="436" spans="1:20">
      <c r="A436" t="s">
        <v>504</v>
      </c>
      <c r="B436" s="3">
        <v>45598</v>
      </c>
      <c r="C436" t="s">
        <v>19</v>
      </c>
      <c r="D436" t="s">
        <v>32</v>
      </c>
      <c r="E436" t="s">
        <v>68</v>
      </c>
      <c r="F436" t="s">
        <v>23</v>
      </c>
      <c r="G436" t="s">
        <v>44</v>
      </c>
      <c r="H436">
        <v>46</v>
      </c>
      <c r="I436">
        <v>883.16</v>
      </c>
      <c r="J436">
        <v>739.54</v>
      </c>
      <c r="K436">
        <f t="shared" si="36"/>
        <v>40625.360000000001</v>
      </c>
      <c r="L436">
        <v>0</v>
      </c>
      <c r="M436">
        <f t="shared" si="37"/>
        <v>0</v>
      </c>
      <c r="N436">
        <f t="shared" si="38"/>
        <v>40625.360000000001</v>
      </c>
      <c r="O436">
        <f t="shared" si="39"/>
        <v>34018.839999999997</v>
      </c>
      <c r="P436">
        <f t="shared" si="40"/>
        <v>6606.5200000000041</v>
      </c>
      <c r="Q436">
        <f t="shared" si="41"/>
        <v>16.262058970062061</v>
      </c>
      <c r="R436" t="s">
        <v>51</v>
      </c>
      <c r="S436" t="s">
        <v>45</v>
      </c>
      <c r="T436">
        <v>3.8</v>
      </c>
    </row>
    <row r="437" spans="1:20">
      <c r="A437" t="s">
        <v>505</v>
      </c>
      <c r="B437" s="3">
        <v>45599</v>
      </c>
      <c r="C437" t="s">
        <v>19</v>
      </c>
      <c r="D437" t="s">
        <v>32</v>
      </c>
      <c r="E437" t="s">
        <v>68</v>
      </c>
      <c r="F437" t="s">
        <v>24</v>
      </c>
      <c r="G437" t="s">
        <v>46</v>
      </c>
      <c r="H437">
        <v>20</v>
      </c>
      <c r="I437">
        <v>505.43</v>
      </c>
      <c r="J437">
        <v>282.94</v>
      </c>
      <c r="K437">
        <f t="shared" si="36"/>
        <v>10108.6</v>
      </c>
      <c r="L437">
        <v>0</v>
      </c>
      <c r="M437">
        <f t="shared" si="37"/>
        <v>0</v>
      </c>
      <c r="N437">
        <f t="shared" si="38"/>
        <v>10108.6</v>
      </c>
      <c r="O437">
        <f t="shared" si="39"/>
        <v>5658.8</v>
      </c>
      <c r="P437">
        <f t="shared" si="40"/>
        <v>4449.8</v>
      </c>
      <c r="Q437">
        <f t="shared" si="41"/>
        <v>44.01994341451833</v>
      </c>
      <c r="R437" t="s">
        <v>49</v>
      </c>
      <c r="S437" t="s">
        <v>41</v>
      </c>
      <c r="T437">
        <v>4.0999999999999996</v>
      </c>
    </row>
    <row r="438" spans="1:20">
      <c r="A438" t="s">
        <v>506</v>
      </c>
      <c r="B438" s="3">
        <v>45600</v>
      </c>
      <c r="C438" t="s">
        <v>19</v>
      </c>
      <c r="D438" t="s">
        <v>26</v>
      </c>
      <c r="E438" t="s">
        <v>68</v>
      </c>
      <c r="F438" t="s">
        <v>20</v>
      </c>
      <c r="G438" t="s">
        <v>36</v>
      </c>
      <c r="H438">
        <v>25</v>
      </c>
      <c r="I438">
        <v>1087.3900000000001</v>
      </c>
      <c r="J438">
        <v>632.65</v>
      </c>
      <c r="K438">
        <f t="shared" si="36"/>
        <v>27184.750000000004</v>
      </c>
      <c r="L438">
        <v>0</v>
      </c>
      <c r="M438">
        <f t="shared" si="37"/>
        <v>0</v>
      </c>
      <c r="N438">
        <f t="shared" si="38"/>
        <v>27184.750000000004</v>
      </c>
      <c r="O438">
        <f t="shared" si="39"/>
        <v>15816.25</v>
      </c>
      <c r="P438">
        <f t="shared" si="40"/>
        <v>11368.500000000004</v>
      </c>
      <c r="Q438">
        <f t="shared" si="41"/>
        <v>41.819402422313992</v>
      </c>
      <c r="R438" t="s">
        <v>49</v>
      </c>
      <c r="S438" t="s">
        <v>41</v>
      </c>
      <c r="T438">
        <v>4.3</v>
      </c>
    </row>
    <row r="439" spans="1:20">
      <c r="A439" t="s">
        <v>507</v>
      </c>
      <c r="B439" s="3">
        <v>45601</v>
      </c>
      <c r="C439" t="s">
        <v>19</v>
      </c>
      <c r="D439" t="s">
        <v>28</v>
      </c>
      <c r="E439" t="s">
        <v>70</v>
      </c>
      <c r="F439" t="s">
        <v>23</v>
      </c>
      <c r="G439" t="s">
        <v>44</v>
      </c>
      <c r="H439">
        <v>30</v>
      </c>
      <c r="I439">
        <v>694.26</v>
      </c>
      <c r="J439">
        <v>504.53</v>
      </c>
      <c r="K439">
        <f t="shared" si="36"/>
        <v>20827.8</v>
      </c>
      <c r="L439">
        <v>0.1</v>
      </c>
      <c r="M439">
        <f t="shared" si="37"/>
        <v>2082.7800000000002</v>
      </c>
      <c r="N439">
        <f t="shared" si="38"/>
        <v>18745.02</v>
      </c>
      <c r="O439">
        <f t="shared" si="39"/>
        <v>15135.9</v>
      </c>
      <c r="P439">
        <f t="shared" si="40"/>
        <v>3609.1200000000008</v>
      </c>
      <c r="Q439">
        <f t="shared" si="41"/>
        <v>19.253753797008489</v>
      </c>
      <c r="R439" t="s">
        <v>49</v>
      </c>
      <c r="S439" t="s">
        <v>43</v>
      </c>
      <c r="T439">
        <v>3.7</v>
      </c>
    </row>
    <row r="440" spans="1:20">
      <c r="A440" t="s">
        <v>508</v>
      </c>
      <c r="B440" s="3">
        <v>45601</v>
      </c>
      <c r="C440" t="s">
        <v>19</v>
      </c>
      <c r="D440" t="s">
        <v>30</v>
      </c>
      <c r="E440" t="s">
        <v>86</v>
      </c>
      <c r="F440" t="s">
        <v>22</v>
      </c>
      <c r="G440" t="s">
        <v>33</v>
      </c>
      <c r="H440">
        <v>7</v>
      </c>
      <c r="I440">
        <v>281.58</v>
      </c>
      <c r="J440">
        <v>185.49</v>
      </c>
      <c r="K440">
        <f t="shared" si="36"/>
        <v>1971.06</v>
      </c>
      <c r="L440">
        <v>0</v>
      </c>
      <c r="M440">
        <f t="shared" si="37"/>
        <v>0</v>
      </c>
      <c r="N440">
        <f t="shared" si="38"/>
        <v>1971.06</v>
      </c>
      <c r="O440">
        <f t="shared" si="39"/>
        <v>1298.43</v>
      </c>
      <c r="P440">
        <f t="shared" si="40"/>
        <v>672.62999999999988</v>
      </c>
      <c r="Q440">
        <f t="shared" si="41"/>
        <v>34.125292989558915</v>
      </c>
      <c r="R440" t="s">
        <v>50</v>
      </c>
      <c r="S440" t="s">
        <v>47</v>
      </c>
      <c r="T440">
        <v>3.7</v>
      </c>
    </row>
    <row r="441" spans="1:20">
      <c r="A441" t="s">
        <v>509</v>
      </c>
      <c r="B441" s="3">
        <v>45602</v>
      </c>
      <c r="C441" t="s">
        <v>19</v>
      </c>
      <c r="D441" t="s">
        <v>28</v>
      </c>
      <c r="E441" t="s">
        <v>68</v>
      </c>
      <c r="F441" t="s">
        <v>22</v>
      </c>
      <c r="G441" t="s">
        <v>33</v>
      </c>
      <c r="H441">
        <v>46</v>
      </c>
      <c r="I441">
        <v>1217.4100000000001</v>
      </c>
      <c r="J441">
        <v>954.12</v>
      </c>
      <c r="K441">
        <f t="shared" si="36"/>
        <v>56000.86</v>
      </c>
      <c r="L441">
        <v>0.1</v>
      </c>
      <c r="M441">
        <f t="shared" si="37"/>
        <v>5600.0860000000002</v>
      </c>
      <c r="N441">
        <f t="shared" si="38"/>
        <v>50400.773999999998</v>
      </c>
      <c r="O441">
        <f t="shared" si="39"/>
        <v>43889.52</v>
      </c>
      <c r="P441">
        <f t="shared" si="40"/>
        <v>6511.2540000000008</v>
      </c>
      <c r="Q441">
        <f t="shared" si="41"/>
        <v>12.918956363646322</v>
      </c>
      <c r="R441" t="s">
        <v>49</v>
      </c>
      <c r="S441" t="s">
        <v>47</v>
      </c>
      <c r="T441">
        <v>3.1</v>
      </c>
    </row>
    <row r="442" spans="1:20">
      <c r="A442" t="s">
        <v>510</v>
      </c>
      <c r="B442" s="3">
        <v>45603</v>
      </c>
      <c r="C442" t="s">
        <v>19</v>
      </c>
      <c r="D442" t="s">
        <v>26</v>
      </c>
      <c r="E442" t="s">
        <v>86</v>
      </c>
      <c r="F442" t="s">
        <v>24</v>
      </c>
      <c r="G442" t="s">
        <v>46</v>
      </c>
      <c r="H442">
        <v>14</v>
      </c>
      <c r="I442">
        <v>1463.43</v>
      </c>
      <c r="J442">
        <v>999.57</v>
      </c>
      <c r="K442">
        <f t="shared" si="36"/>
        <v>20488.02</v>
      </c>
      <c r="L442">
        <v>0.25</v>
      </c>
      <c r="M442">
        <f t="shared" si="37"/>
        <v>5122.0050000000001</v>
      </c>
      <c r="N442">
        <f t="shared" si="38"/>
        <v>15366.014999999999</v>
      </c>
      <c r="O442">
        <f t="shared" si="39"/>
        <v>13993.980000000001</v>
      </c>
      <c r="P442">
        <f t="shared" si="40"/>
        <v>1372.034999999998</v>
      </c>
      <c r="Q442">
        <f t="shared" si="41"/>
        <v>8.9290229119260793</v>
      </c>
      <c r="R442" t="s">
        <v>50</v>
      </c>
      <c r="S442" t="s">
        <v>41</v>
      </c>
      <c r="T442">
        <v>4.8</v>
      </c>
    </row>
    <row r="443" spans="1:20">
      <c r="A443" t="s">
        <v>511</v>
      </c>
      <c r="B443" s="3">
        <v>45603</v>
      </c>
      <c r="C443" t="s">
        <v>19</v>
      </c>
      <c r="D443" t="s">
        <v>32</v>
      </c>
      <c r="E443" t="s">
        <v>70</v>
      </c>
      <c r="F443" t="s">
        <v>20</v>
      </c>
      <c r="G443" t="s">
        <v>36</v>
      </c>
      <c r="H443">
        <v>26</v>
      </c>
      <c r="I443">
        <v>1017.15</v>
      </c>
      <c r="J443">
        <v>359.4</v>
      </c>
      <c r="K443">
        <f t="shared" si="36"/>
        <v>26445.899999999998</v>
      </c>
      <c r="L443">
        <v>0</v>
      </c>
      <c r="M443">
        <f t="shared" si="37"/>
        <v>0</v>
      </c>
      <c r="N443">
        <f t="shared" si="38"/>
        <v>26445.899999999998</v>
      </c>
      <c r="O443">
        <f t="shared" si="39"/>
        <v>9344.4</v>
      </c>
      <c r="P443">
        <f t="shared" si="40"/>
        <v>17101.5</v>
      </c>
      <c r="Q443">
        <f t="shared" si="41"/>
        <v>64.665978469252323</v>
      </c>
      <c r="R443" t="s">
        <v>50</v>
      </c>
      <c r="S443" t="s">
        <v>43</v>
      </c>
      <c r="T443">
        <v>3.3</v>
      </c>
    </row>
    <row r="444" spans="1:20">
      <c r="A444" t="s">
        <v>512</v>
      </c>
      <c r="B444" s="3">
        <v>45603</v>
      </c>
      <c r="C444" t="s">
        <v>19</v>
      </c>
      <c r="D444" t="s">
        <v>28</v>
      </c>
      <c r="E444" t="s">
        <v>68</v>
      </c>
      <c r="F444" t="s">
        <v>24</v>
      </c>
      <c r="G444" t="s">
        <v>40</v>
      </c>
      <c r="H444">
        <v>2</v>
      </c>
      <c r="I444">
        <v>647.21</v>
      </c>
      <c r="J444">
        <v>404.6</v>
      </c>
      <c r="K444">
        <f t="shared" si="36"/>
        <v>1294.42</v>
      </c>
      <c r="L444">
        <v>0.1</v>
      </c>
      <c r="M444">
        <f t="shared" si="37"/>
        <v>129.44200000000001</v>
      </c>
      <c r="N444">
        <f t="shared" si="38"/>
        <v>1164.9780000000001</v>
      </c>
      <c r="O444">
        <f t="shared" si="39"/>
        <v>809.2</v>
      </c>
      <c r="P444">
        <f t="shared" si="40"/>
        <v>355.77800000000002</v>
      </c>
      <c r="Q444">
        <f t="shared" si="41"/>
        <v>30.539460831019984</v>
      </c>
      <c r="R444" t="s">
        <v>50</v>
      </c>
      <c r="S444" t="s">
        <v>41</v>
      </c>
      <c r="T444">
        <v>4.3</v>
      </c>
    </row>
    <row r="445" spans="1:20">
      <c r="A445" t="s">
        <v>513</v>
      </c>
      <c r="B445" s="3">
        <v>45603</v>
      </c>
      <c r="C445" t="s">
        <v>19</v>
      </c>
      <c r="D445" t="s">
        <v>28</v>
      </c>
      <c r="E445" t="s">
        <v>68</v>
      </c>
      <c r="F445" t="s">
        <v>24</v>
      </c>
      <c r="G445" t="s">
        <v>29</v>
      </c>
      <c r="H445">
        <v>42</v>
      </c>
      <c r="I445">
        <v>914.94</v>
      </c>
      <c r="J445">
        <v>572.63</v>
      </c>
      <c r="K445">
        <f t="shared" si="36"/>
        <v>38427.480000000003</v>
      </c>
      <c r="L445">
        <v>0.05</v>
      </c>
      <c r="M445">
        <f t="shared" si="37"/>
        <v>1921.3740000000003</v>
      </c>
      <c r="N445">
        <f t="shared" si="38"/>
        <v>36506.106</v>
      </c>
      <c r="O445">
        <f t="shared" si="39"/>
        <v>24050.46</v>
      </c>
      <c r="P445">
        <f t="shared" si="40"/>
        <v>12455.646000000001</v>
      </c>
      <c r="Q445">
        <f t="shared" si="41"/>
        <v>34.119349787676619</v>
      </c>
      <c r="R445" t="s">
        <v>50</v>
      </c>
      <c r="S445" t="s">
        <v>47</v>
      </c>
      <c r="T445">
        <v>4.0999999999999996</v>
      </c>
    </row>
    <row r="446" spans="1:20">
      <c r="A446" t="s">
        <v>514</v>
      </c>
      <c r="B446" s="3">
        <v>45603</v>
      </c>
      <c r="C446" t="s">
        <v>19</v>
      </c>
      <c r="D446" t="s">
        <v>32</v>
      </c>
      <c r="E446" t="s">
        <v>68</v>
      </c>
      <c r="F446" t="s">
        <v>20</v>
      </c>
      <c r="G446" t="s">
        <v>31</v>
      </c>
      <c r="H446">
        <v>41</v>
      </c>
      <c r="I446">
        <v>1014.49</v>
      </c>
      <c r="J446">
        <v>402.55</v>
      </c>
      <c r="K446">
        <f t="shared" si="36"/>
        <v>41594.090000000004</v>
      </c>
      <c r="L446">
        <v>0.2</v>
      </c>
      <c r="M446">
        <f t="shared" si="37"/>
        <v>8318.8180000000011</v>
      </c>
      <c r="N446">
        <f t="shared" si="38"/>
        <v>33275.272000000004</v>
      </c>
      <c r="O446">
        <f t="shared" si="39"/>
        <v>16504.55</v>
      </c>
      <c r="P446">
        <f t="shared" si="40"/>
        <v>16770.722000000005</v>
      </c>
      <c r="Q446">
        <f t="shared" si="41"/>
        <v>50.399954657019798</v>
      </c>
      <c r="R446" t="s">
        <v>49</v>
      </c>
      <c r="S446" t="s">
        <v>47</v>
      </c>
      <c r="T446">
        <v>3.1</v>
      </c>
    </row>
    <row r="447" spans="1:20">
      <c r="A447" t="s">
        <v>515</v>
      </c>
      <c r="B447" s="3">
        <v>45604</v>
      </c>
      <c r="C447" t="s">
        <v>19</v>
      </c>
      <c r="D447" t="s">
        <v>32</v>
      </c>
      <c r="E447" t="s">
        <v>86</v>
      </c>
      <c r="F447" t="s">
        <v>24</v>
      </c>
      <c r="G447" t="s">
        <v>46</v>
      </c>
      <c r="H447">
        <v>20</v>
      </c>
      <c r="I447">
        <v>630.16</v>
      </c>
      <c r="J447">
        <v>321.73</v>
      </c>
      <c r="K447">
        <f t="shared" si="36"/>
        <v>12603.199999999999</v>
      </c>
      <c r="L447">
        <v>0</v>
      </c>
      <c r="M447">
        <f t="shared" si="37"/>
        <v>0</v>
      </c>
      <c r="N447">
        <f t="shared" si="38"/>
        <v>12603.199999999999</v>
      </c>
      <c r="O447">
        <f t="shared" si="39"/>
        <v>6434.6</v>
      </c>
      <c r="P447">
        <f t="shared" si="40"/>
        <v>6168.5999999999985</v>
      </c>
      <c r="Q447">
        <f t="shared" si="41"/>
        <v>48.944712453979932</v>
      </c>
      <c r="R447" t="s">
        <v>49</v>
      </c>
      <c r="S447" t="s">
        <v>43</v>
      </c>
      <c r="T447">
        <v>3.9</v>
      </c>
    </row>
    <row r="448" spans="1:20">
      <c r="A448" t="s">
        <v>516</v>
      </c>
      <c r="B448" s="3">
        <v>45604</v>
      </c>
      <c r="C448" t="s">
        <v>19</v>
      </c>
      <c r="D448" t="s">
        <v>32</v>
      </c>
      <c r="E448" t="s">
        <v>68</v>
      </c>
      <c r="F448" t="s">
        <v>24</v>
      </c>
      <c r="G448" t="s">
        <v>29</v>
      </c>
      <c r="H448">
        <v>17</v>
      </c>
      <c r="I448">
        <v>1074.95</v>
      </c>
      <c r="J448">
        <v>540.48</v>
      </c>
      <c r="K448">
        <f t="shared" si="36"/>
        <v>18274.150000000001</v>
      </c>
      <c r="L448">
        <v>0.1</v>
      </c>
      <c r="M448">
        <f t="shared" si="37"/>
        <v>1827.4150000000002</v>
      </c>
      <c r="N448">
        <f t="shared" si="38"/>
        <v>16446.735000000001</v>
      </c>
      <c r="O448">
        <f t="shared" si="39"/>
        <v>9188.16</v>
      </c>
      <c r="P448">
        <f t="shared" si="40"/>
        <v>7258.5750000000007</v>
      </c>
      <c r="Q448">
        <f t="shared" si="41"/>
        <v>44.133835682279795</v>
      </c>
      <c r="R448" t="s">
        <v>49</v>
      </c>
      <c r="S448" t="s">
        <v>45</v>
      </c>
      <c r="T448">
        <v>4.5</v>
      </c>
    </row>
    <row r="449" spans="1:20">
      <c r="A449" t="s">
        <v>517</v>
      </c>
      <c r="B449" s="3">
        <v>45605</v>
      </c>
      <c r="C449" t="s">
        <v>19</v>
      </c>
      <c r="D449" t="s">
        <v>30</v>
      </c>
      <c r="E449" t="s">
        <v>70</v>
      </c>
      <c r="F449" t="s">
        <v>23</v>
      </c>
      <c r="G449" t="s">
        <v>37</v>
      </c>
      <c r="H449">
        <v>5</v>
      </c>
      <c r="I449">
        <v>792.35</v>
      </c>
      <c r="J449">
        <v>583.96</v>
      </c>
      <c r="K449">
        <f t="shared" si="36"/>
        <v>3961.75</v>
      </c>
      <c r="L449">
        <v>0.15</v>
      </c>
      <c r="M449">
        <f t="shared" si="37"/>
        <v>594.26249999999993</v>
      </c>
      <c r="N449">
        <f t="shared" si="38"/>
        <v>3367.4875000000002</v>
      </c>
      <c r="O449">
        <f t="shared" si="39"/>
        <v>2919.8</v>
      </c>
      <c r="P449">
        <f t="shared" si="40"/>
        <v>447.6875</v>
      </c>
      <c r="Q449">
        <f t="shared" si="41"/>
        <v>13.294407180427545</v>
      </c>
      <c r="R449" t="s">
        <v>49</v>
      </c>
      <c r="S449" t="s">
        <v>45</v>
      </c>
      <c r="T449">
        <v>4.4000000000000004</v>
      </c>
    </row>
    <row r="450" spans="1:20">
      <c r="A450" t="s">
        <v>518</v>
      </c>
      <c r="B450" s="3">
        <v>45605</v>
      </c>
      <c r="C450" t="s">
        <v>19</v>
      </c>
      <c r="D450" t="s">
        <v>30</v>
      </c>
      <c r="E450" t="s">
        <v>68</v>
      </c>
      <c r="F450" t="s">
        <v>23</v>
      </c>
      <c r="G450" t="s">
        <v>38</v>
      </c>
      <c r="H450">
        <v>43</v>
      </c>
      <c r="I450">
        <v>63.09</v>
      </c>
      <c r="J450">
        <v>50.07</v>
      </c>
      <c r="K450">
        <f t="shared" ref="K450:K513" si="42">H450*I450</f>
        <v>2712.8700000000003</v>
      </c>
      <c r="L450">
        <v>0.2</v>
      </c>
      <c r="M450">
        <f t="shared" ref="M450:M513" si="43">K450*L450</f>
        <v>542.57400000000007</v>
      </c>
      <c r="N450">
        <f t="shared" ref="N450:N513" si="44">K450-M450</f>
        <v>2170.2960000000003</v>
      </c>
      <c r="O450">
        <f t="shared" ref="O450:O513" si="45">H450*J450</f>
        <v>2153.0100000000002</v>
      </c>
      <c r="P450">
        <f t="shared" ref="P450:P513" si="46">N450-O450</f>
        <v>17.286000000000058</v>
      </c>
      <c r="Q450">
        <f t="shared" ref="Q450:Q513" si="47">IFERROR(P450/N450*100,0)</f>
        <v>0.79648121730860943</v>
      </c>
      <c r="R450" t="s">
        <v>49</v>
      </c>
      <c r="S450" t="s">
        <v>43</v>
      </c>
      <c r="T450">
        <v>3.9</v>
      </c>
    </row>
    <row r="451" spans="1:20">
      <c r="A451" t="s">
        <v>519</v>
      </c>
      <c r="B451" s="3">
        <v>45606</v>
      </c>
      <c r="C451" t="s">
        <v>19</v>
      </c>
      <c r="D451" t="s">
        <v>32</v>
      </c>
      <c r="E451" t="s">
        <v>70</v>
      </c>
      <c r="F451" t="s">
        <v>20</v>
      </c>
      <c r="G451" t="s">
        <v>31</v>
      </c>
      <c r="H451">
        <v>16</v>
      </c>
      <c r="I451">
        <v>1342.51</v>
      </c>
      <c r="J451">
        <v>777.48</v>
      </c>
      <c r="K451">
        <f t="shared" si="42"/>
        <v>21480.16</v>
      </c>
      <c r="L451">
        <v>0.1</v>
      </c>
      <c r="M451">
        <f t="shared" si="43"/>
        <v>2148.0160000000001</v>
      </c>
      <c r="N451">
        <f t="shared" si="44"/>
        <v>19332.144</v>
      </c>
      <c r="O451">
        <f t="shared" si="45"/>
        <v>12439.68</v>
      </c>
      <c r="P451">
        <f t="shared" si="46"/>
        <v>6892.4639999999999</v>
      </c>
      <c r="Q451">
        <f t="shared" si="47"/>
        <v>35.652869128224992</v>
      </c>
      <c r="R451" t="s">
        <v>49</v>
      </c>
      <c r="S451" t="s">
        <v>41</v>
      </c>
      <c r="T451">
        <v>3.2</v>
      </c>
    </row>
    <row r="452" spans="1:20">
      <c r="A452" t="s">
        <v>520</v>
      </c>
      <c r="B452" s="3">
        <v>45607</v>
      </c>
      <c r="C452" t="s">
        <v>19</v>
      </c>
      <c r="D452" t="s">
        <v>26</v>
      </c>
      <c r="E452" t="s">
        <v>68</v>
      </c>
      <c r="F452" t="s">
        <v>22</v>
      </c>
      <c r="G452" t="s">
        <v>42</v>
      </c>
      <c r="H452">
        <v>25</v>
      </c>
      <c r="I452">
        <v>506</v>
      </c>
      <c r="J452">
        <v>326.14999999999998</v>
      </c>
      <c r="K452">
        <f t="shared" si="42"/>
        <v>12650</v>
      </c>
      <c r="L452">
        <v>0.05</v>
      </c>
      <c r="M452">
        <f t="shared" si="43"/>
        <v>632.5</v>
      </c>
      <c r="N452">
        <f t="shared" si="44"/>
        <v>12017.5</v>
      </c>
      <c r="O452">
        <f t="shared" si="45"/>
        <v>8153.7499999999991</v>
      </c>
      <c r="P452">
        <f t="shared" si="46"/>
        <v>3863.7500000000009</v>
      </c>
      <c r="Q452">
        <f t="shared" si="47"/>
        <v>32.151029748283761</v>
      </c>
      <c r="R452" t="s">
        <v>49</v>
      </c>
      <c r="S452" t="s">
        <v>43</v>
      </c>
      <c r="T452">
        <v>3.8</v>
      </c>
    </row>
    <row r="453" spans="1:20">
      <c r="A453" t="s">
        <v>521</v>
      </c>
      <c r="B453" s="3">
        <v>45607</v>
      </c>
      <c r="C453" t="s">
        <v>19</v>
      </c>
      <c r="D453" t="s">
        <v>28</v>
      </c>
      <c r="E453" t="s">
        <v>68</v>
      </c>
      <c r="F453" t="s">
        <v>23</v>
      </c>
      <c r="G453" t="s">
        <v>44</v>
      </c>
      <c r="H453">
        <v>19</v>
      </c>
      <c r="I453">
        <v>837.87</v>
      </c>
      <c r="J453">
        <v>642.01</v>
      </c>
      <c r="K453">
        <f t="shared" si="42"/>
        <v>15919.53</v>
      </c>
      <c r="L453">
        <v>0.1</v>
      </c>
      <c r="M453">
        <f t="shared" si="43"/>
        <v>1591.9530000000002</v>
      </c>
      <c r="N453">
        <f t="shared" si="44"/>
        <v>14327.577000000001</v>
      </c>
      <c r="O453">
        <f t="shared" si="45"/>
        <v>12198.19</v>
      </c>
      <c r="P453">
        <f t="shared" si="46"/>
        <v>2129.3870000000006</v>
      </c>
      <c r="Q453">
        <f t="shared" si="47"/>
        <v>14.862157083504075</v>
      </c>
      <c r="R453" t="s">
        <v>51</v>
      </c>
      <c r="S453" t="s">
        <v>43</v>
      </c>
      <c r="T453">
        <v>3.3</v>
      </c>
    </row>
    <row r="454" spans="1:20">
      <c r="A454" t="s">
        <v>522</v>
      </c>
      <c r="B454" s="3">
        <v>45608</v>
      </c>
      <c r="C454" t="s">
        <v>19</v>
      </c>
      <c r="D454" t="s">
        <v>30</v>
      </c>
      <c r="E454" t="s">
        <v>70</v>
      </c>
      <c r="F454" t="s">
        <v>24</v>
      </c>
      <c r="G454" t="s">
        <v>29</v>
      </c>
      <c r="H454">
        <v>1</v>
      </c>
      <c r="I454">
        <v>1451.8</v>
      </c>
      <c r="J454">
        <v>893.08</v>
      </c>
      <c r="K454">
        <f t="shared" si="42"/>
        <v>1451.8</v>
      </c>
      <c r="L454">
        <v>0.2</v>
      </c>
      <c r="M454">
        <f t="shared" si="43"/>
        <v>290.36</v>
      </c>
      <c r="N454">
        <f t="shared" si="44"/>
        <v>1161.44</v>
      </c>
      <c r="O454">
        <f t="shared" si="45"/>
        <v>893.08</v>
      </c>
      <c r="P454">
        <f t="shared" si="46"/>
        <v>268.36</v>
      </c>
      <c r="Q454">
        <f t="shared" si="47"/>
        <v>23.105799696927949</v>
      </c>
      <c r="R454" t="s">
        <v>50</v>
      </c>
      <c r="S454" t="s">
        <v>43</v>
      </c>
      <c r="T454">
        <v>3.7</v>
      </c>
    </row>
    <row r="455" spans="1:20">
      <c r="A455" t="s">
        <v>523</v>
      </c>
      <c r="B455" s="3">
        <v>45608</v>
      </c>
      <c r="C455" t="s">
        <v>19</v>
      </c>
      <c r="D455" t="s">
        <v>32</v>
      </c>
      <c r="E455" t="s">
        <v>70</v>
      </c>
      <c r="F455" t="s">
        <v>20</v>
      </c>
      <c r="G455" t="s">
        <v>31</v>
      </c>
      <c r="H455">
        <v>34</v>
      </c>
      <c r="I455">
        <v>424.14</v>
      </c>
      <c r="J455">
        <v>158.38</v>
      </c>
      <c r="K455">
        <f t="shared" si="42"/>
        <v>14420.76</v>
      </c>
      <c r="L455">
        <v>0.05</v>
      </c>
      <c r="M455">
        <f t="shared" si="43"/>
        <v>721.03800000000001</v>
      </c>
      <c r="N455">
        <f t="shared" si="44"/>
        <v>13699.722</v>
      </c>
      <c r="O455">
        <f t="shared" si="45"/>
        <v>5384.92</v>
      </c>
      <c r="P455">
        <f t="shared" si="46"/>
        <v>8314.8019999999997</v>
      </c>
      <c r="Q455">
        <f t="shared" si="47"/>
        <v>60.69321698644687</v>
      </c>
      <c r="R455" t="s">
        <v>49</v>
      </c>
      <c r="S455" t="s">
        <v>41</v>
      </c>
      <c r="T455">
        <v>4.9000000000000004</v>
      </c>
    </row>
    <row r="456" spans="1:20">
      <c r="A456" t="s">
        <v>524</v>
      </c>
      <c r="B456" s="3">
        <v>45609</v>
      </c>
      <c r="C456" t="s">
        <v>19</v>
      </c>
      <c r="D456" t="s">
        <v>30</v>
      </c>
      <c r="E456" t="s">
        <v>86</v>
      </c>
      <c r="F456" t="s">
        <v>20</v>
      </c>
      <c r="G456" t="s">
        <v>34</v>
      </c>
      <c r="H456">
        <v>7</v>
      </c>
      <c r="I456">
        <v>360.79</v>
      </c>
      <c r="J456">
        <v>206.44</v>
      </c>
      <c r="K456">
        <f t="shared" si="42"/>
        <v>2525.5300000000002</v>
      </c>
      <c r="L456">
        <v>0</v>
      </c>
      <c r="M456">
        <f t="shared" si="43"/>
        <v>0</v>
      </c>
      <c r="N456">
        <f t="shared" si="44"/>
        <v>2525.5300000000002</v>
      </c>
      <c r="O456">
        <f t="shared" si="45"/>
        <v>1445.08</v>
      </c>
      <c r="P456">
        <f t="shared" si="46"/>
        <v>1080.4500000000003</v>
      </c>
      <c r="Q456">
        <f t="shared" si="47"/>
        <v>42.781119210621142</v>
      </c>
      <c r="R456" t="s">
        <v>50</v>
      </c>
      <c r="S456" t="s">
        <v>47</v>
      </c>
      <c r="T456">
        <v>3</v>
      </c>
    </row>
    <row r="457" spans="1:20">
      <c r="A457" t="s">
        <v>525</v>
      </c>
      <c r="B457" s="3">
        <v>45610</v>
      </c>
      <c r="C457" t="s">
        <v>19</v>
      </c>
      <c r="D457" t="s">
        <v>30</v>
      </c>
      <c r="E457" t="s">
        <v>68</v>
      </c>
      <c r="F457" t="s">
        <v>22</v>
      </c>
      <c r="G457" t="s">
        <v>35</v>
      </c>
      <c r="H457">
        <v>46</v>
      </c>
      <c r="I457">
        <v>217.22</v>
      </c>
      <c r="J457">
        <v>152.37</v>
      </c>
      <c r="K457">
        <f t="shared" si="42"/>
        <v>9992.1200000000008</v>
      </c>
      <c r="L457">
        <v>0.2</v>
      </c>
      <c r="M457">
        <f t="shared" si="43"/>
        <v>1998.4240000000002</v>
      </c>
      <c r="N457">
        <f t="shared" si="44"/>
        <v>7993.6960000000008</v>
      </c>
      <c r="O457">
        <f t="shared" si="45"/>
        <v>7009.02</v>
      </c>
      <c r="P457">
        <f t="shared" si="46"/>
        <v>984.67600000000039</v>
      </c>
      <c r="Q457">
        <f t="shared" si="47"/>
        <v>12.318156707485501</v>
      </c>
      <c r="R457" t="s">
        <v>49</v>
      </c>
      <c r="S457" t="s">
        <v>41</v>
      </c>
      <c r="T457">
        <v>4.3</v>
      </c>
    </row>
    <row r="458" spans="1:20">
      <c r="A458" t="s">
        <v>526</v>
      </c>
      <c r="B458" s="3">
        <v>45610</v>
      </c>
      <c r="C458" t="s">
        <v>19</v>
      </c>
      <c r="D458" t="s">
        <v>30</v>
      </c>
      <c r="E458" t="s">
        <v>70</v>
      </c>
      <c r="F458" t="s">
        <v>23</v>
      </c>
      <c r="G458" t="s">
        <v>38</v>
      </c>
      <c r="H458">
        <v>4</v>
      </c>
      <c r="I458">
        <v>512.76</v>
      </c>
      <c r="J458">
        <v>434.97</v>
      </c>
      <c r="K458">
        <f t="shared" si="42"/>
        <v>2051.04</v>
      </c>
      <c r="L458">
        <v>0.1</v>
      </c>
      <c r="M458">
        <f t="shared" si="43"/>
        <v>205.10400000000001</v>
      </c>
      <c r="N458">
        <f t="shared" si="44"/>
        <v>1845.9359999999999</v>
      </c>
      <c r="O458">
        <f t="shared" si="45"/>
        <v>1739.88</v>
      </c>
      <c r="P458">
        <f t="shared" si="46"/>
        <v>106.05599999999981</v>
      </c>
      <c r="Q458">
        <f t="shared" si="47"/>
        <v>5.7453779545986325</v>
      </c>
      <c r="R458" t="s">
        <v>49</v>
      </c>
      <c r="S458" t="s">
        <v>43</v>
      </c>
      <c r="T458">
        <v>4.8</v>
      </c>
    </row>
    <row r="459" spans="1:20">
      <c r="A459" t="s">
        <v>527</v>
      </c>
      <c r="B459" s="3">
        <v>45610</v>
      </c>
      <c r="C459" t="s">
        <v>19</v>
      </c>
      <c r="D459" t="s">
        <v>30</v>
      </c>
      <c r="E459" t="s">
        <v>68</v>
      </c>
      <c r="F459" t="s">
        <v>24</v>
      </c>
      <c r="G459" t="s">
        <v>46</v>
      </c>
      <c r="H459">
        <v>30</v>
      </c>
      <c r="I459">
        <v>185.95</v>
      </c>
      <c r="J459">
        <v>112.74</v>
      </c>
      <c r="K459">
        <f t="shared" si="42"/>
        <v>5578.5</v>
      </c>
      <c r="L459">
        <v>0.1</v>
      </c>
      <c r="M459">
        <f t="shared" si="43"/>
        <v>557.85</v>
      </c>
      <c r="N459">
        <f t="shared" si="44"/>
        <v>5020.6499999999996</v>
      </c>
      <c r="O459">
        <f t="shared" si="45"/>
        <v>3382.2</v>
      </c>
      <c r="P459">
        <f t="shared" si="46"/>
        <v>1638.4499999999998</v>
      </c>
      <c r="Q459">
        <f t="shared" si="47"/>
        <v>32.63422066863852</v>
      </c>
      <c r="R459" t="s">
        <v>50</v>
      </c>
      <c r="S459" t="s">
        <v>43</v>
      </c>
      <c r="T459">
        <v>3.5</v>
      </c>
    </row>
    <row r="460" spans="1:20">
      <c r="A460" t="s">
        <v>528</v>
      </c>
      <c r="B460" s="3">
        <v>45611</v>
      </c>
      <c r="C460" t="s">
        <v>19</v>
      </c>
      <c r="D460" t="s">
        <v>32</v>
      </c>
      <c r="E460" t="s">
        <v>68</v>
      </c>
      <c r="F460" t="s">
        <v>24</v>
      </c>
      <c r="G460" t="s">
        <v>46</v>
      </c>
      <c r="H460">
        <v>40</v>
      </c>
      <c r="I460">
        <v>214.37</v>
      </c>
      <c r="J460">
        <v>147.65</v>
      </c>
      <c r="K460">
        <f t="shared" si="42"/>
        <v>8574.7999999999993</v>
      </c>
      <c r="L460">
        <v>0</v>
      </c>
      <c r="M460">
        <f t="shared" si="43"/>
        <v>0</v>
      </c>
      <c r="N460">
        <f t="shared" si="44"/>
        <v>8574.7999999999993</v>
      </c>
      <c r="O460">
        <f t="shared" si="45"/>
        <v>5906</v>
      </c>
      <c r="P460">
        <f t="shared" si="46"/>
        <v>2668.7999999999993</v>
      </c>
      <c r="Q460">
        <f t="shared" si="47"/>
        <v>31.12375798852451</v>
      </c>
      <c r="R460" t="s">
        <v>49</v>
      </c>
      <c r="S460" t="s">
        <v>43</v>
      </c>
      <c r="T460">
        <v>3.4</v>
      </c>
    </row>
    <row r="461" spans="1:20">
      <c r="A461" t="s">
        <v>529</v>
      </c>
      <c r="B461" s="3">
        <v>45613</v>
      </c>
      <c r="C461" t="s">
        <v>19</v>
      </c>
      <c r="D461" t="s">
        <v>32</v>
      </c>
      <c r="E461" t="s">
        <v>68</v>
      </c>
      <c r="F461" t="s">
        <v>22</v>
      </c>
      <c r="G461" t="s">
        <v>42</v>
      </c>
      <c r="H461">
        <v>23</v>
      </c>
      <c r="I461">
        <v>996.84</v>
      </c>
      <c r="J461">
        <v>773.78</v>
      </c>
      <c r="K461">
        <f t="shared" si="42"/>
        <v>22927.32</v>
      </c>
      <c r="L461">
        <v>0.1</v>
      </c>
      <c r="M461">
        <f t="shared" si="43"/>
        <v>2292.732</v>
      </c>
      <c r="N461">
        <f t="shared" si="44"/>
        <v>20634.588</v>
      </c>
      <c r="O461">
        <f t="shared" si="45"/>
        <v>17796.939999999999</v>
      </c>
      <c r="P461">
        <f t="shared" si="46"/>
        <v>2837.648000000001</v>
      </c>
      <c r="Q461">
        <f t="shared" si="47"/>
        <v>13.751900449866024</v>
      </c>
      <c r="R461" t="s">
        <v>49</v>
      </c>
      <c r="S461" t="s">
        <v>43</v>
      </c>
      <c r="T461">
        <v>3.9</v>
      </c>
    </row>
    <row r="462" spans="1:20">
      <c r="A462" t="s">
        <v>530</v>
      </c>
      <c r="B462" s="3">
        <v>45614</v>
      </c>
      <c r="C462" t="s">
        <v>19</v>
      </c>
      <c r="D462" t="s">
        <v>28</v>
      </c>
      <c r="E462" t="s">
        <v>68</v>
      </c>
      <c r="F462" t="s">
        <v>23</v>
      </c>
      <c r="G462" t="s">
        <v>37</v>
      </c>
      <c r="H462">
        <v>9</v>
      </c>
      <c r="I462">
        <v>525.23</v>
      </c>
      <c r="J462">
        <v>437.19</v>
      </c>
      <c r="K462">
        <f t="shared" si="42"/>
        <v>4727.07</v>
      </c>
      <c r="L462">
        <v>0</v>
      </c>
      <c r="M462">
        <f t="shared" si="43"/>
        <v>0</v>
      </c>
      <c r="N462">
        <f t="shared" si="44"/>
        <v>4727.07</v>
      </c>
      <c r="O462">
        <f t="shared" si="45"/>
        <v>3934.71</v>
      </c>
      <c r="P462">
        <f t="shared" si="46"/>
        <v>792.35999999999967</v>
      </c>
      <c r="Q462">
        <f t="shared" si="47"/>
        <v>16.762180378120057</v>
      </c>
      <c r="R462" t="s">
        <v>51</v>
      </c>
      <c r="S462" t="s">
        <v>41</v>
      </c>
      <c r="T462">
        <v>4.5999999999999996</v>
      </c>
    </row>
    <row r="463" spans="1:20">
      <c r="A463" t="s">
        <v>531</v>
      </c>
      <c r="B463" s="3">
        <v>45614</v>
      </c>
      <c r="C463" t="s">
        <v>19</v>
      </c>
      <c r="D463" t="s">
        <v>30</v>
      </c>
      <c r="E463" t="s">
        <v>68</v>
      </c>
      <c r="F463" t="s">
        <v>24</v>
      </c>
      <c r="G463" t="s">
        <v>40</v>
      </c>
      <c r="H463">
        <v>9</v>
      </c>
      <c r="I463">
        <v>660.35</v>
      </c>
      <c r="J463">
        <v>376.5</v>
      </c>
      <c r="K463">
        <f t="shared" si="42"/>
        <v>5943.1500000000005</v>
      </c>
      <c r="L463">
        <v>0.1</v>
      </c>
      <c r="M463">
        <f t="shared" si="43"/>
        <v>594.31500000000005</v>
      </c>
      <c r="N463">
        <f t="shared" si="44"/>
        <v>5348.8350000000009</v>
      </c>
      <c r="O463">
        <f t="shared" si="45"/>
        <v>3388.5</v>
      </c>
      <c r="P463">
        <f t="shared" si="46"/>
        <v>1960.3350000000009</v>
      </c>
      <c r="Q463">
        <f t="shared" si="47"/>
        <v>36.649756442290716</v>
      </c>
      <c r="R463" t="s">
        <v>51</v>
      </c>
      <c r="S463" t="s">
        <v>41</v>
      </c>
      <c r="T463">
        <v>3.5</v>
      </c>
    </row>
    <row r="464" spans="1:20">
      <c r="A464" t="s">
        <v>532</v>
      </c>
      <c r="B464" s="3">
        <v>45615</v>
      </c>
      <c r="C464" t="s">
        <v>19</v>
      </c>
      <c r="D464" t="s">
        <v>28</v>
      </c>
      <c r="E464" t="s">
        <v>86</v>
      </c>
      <c r="F464" t="s">
        <v>23</v>
      </c>
      <c r="G464" t="s">
        <v>37</v>
      </c>
      <c r="H464">
        <v>36</v>
      </c>
      <c r="I464">
        <v>905.51</v>
      </c>
      <c r="J464">
        <v>668.35</v>
      </c>
      <c r="K464">
        <f t="shared" si="42"/>
        <v>32598.36</v>
      </c>
      <c r="L464">
        <v>0</v>
      </c>
      <c r="M464">
        <f t="shared" si="43"/>
        <v>0</v>
      </c>
      <c r="N464">
        <f t="shared" si="44"/>
        <v>32598.36</v>
      </c>
      <c r="O464">
        <f t="shared" si="45"/>
        <v>24060.600000000002</v>
      </c>
      <c r="P464">
        <f t="shared" si="46"/>
        <v>8537.7599999999984</v>
      </c>
      <c r="Q464">
        <f t="shared" si="47"/>
        <v>26.190765425009104</v>
      </c>
      <c r="R464" t="s">
        <v>50</v>
      </c>
      <c r="S464" t="s">
        <v>43</v>
      </c>
      <c r="T464">
        <v>3.3</v>
      </c>
    </row>
    <row r="465" spans="1:20">
      <c r="A465" t="s">
        <v>533</v>
      </c>
      <c r="B465" s="3">
        <v>45615</v>
      </c>
      <c r="C465" t="s">
        <v>19</v>
      </c>
      <c r="D465" t="s">
        <v>28</v>
      </c>
      <c r="E465" t="s">
        <v>68</v>
      </c>
      <c r="F465" t="s">
        <v>20</v>
      </c>
      <c r="G465" t="s">
        <v>36</v>
      </c>
      <c r="H465">
        <v>18</v>
      </c>
      <c r="I465">
        <v>1169.3699999999999</v>
      </c>
      <c r="J465">
        <v>531.08000000000004</v>
      </c>
      <c r="K465">
        <f t="shared" si="42"/>
        <v>21048.659999999996</v>
      </c>
      <c r="L465">
        <v>0.1</v>
      </c>
      <c r="M465">
        <f t="shared" si="43"/>
        <v>2104.8659999999995</v>
      </c>
      <c r="N465">
        <f t="shared" si="44"/>
        <v>18943.793999999998</v>
      </c>
      <c r="O465">
        <f t="shared" si="45"/>
        <v>9559.44</v>
      </c>
      <c r="P465">
        <f t="shared" si="46"/>
        <v>9384.3539999999975</v>
      </c>
      <c r="Q465">
        <f t="shared" si="47"/>
        <v>49.537880321122572</v>
      </c>
      <c r="R465" t="s">
        <v>50</v>
      </c>
      <c r="S465" t="s">
        <v>43</v>
      </c>
      <c r="T465">
        <v>4.0999999999999996</v>
      </c>
    </row>
    <row r="466" spans="1:20">
      <c r="A466" t="s">
        <v>534</v>
      </c>
      <c r="B466" s="3">
        <v>45616</v>
      </c>
      <c r="C466" t="s">
        <v>19</v>
      </c>
      <c r="D466" t="s">
        <v>30</v>
      </c>
      <c r="E466" t="s">
        <v>70</v>
      </c>
      <c r="F466" t="s">
        <v>24</v>
      </c>
      <c r="G466" t="s">
        <v>46</v>
      </c>
      <c r="H466">
        <v>41</v>
      </c>
      <c r="I466">
        <v>689.01</v>
      </c>
      <c r="J466">
        <v>349.72</v>
      </c>
      <c r="K466">
        <f t="shared" si="42"/>
        <v>28249.41</v>
      </c>
      <c r="L466">
        <v>0.25</v>
      </c>
      <c r="M466">
        <f t="shared" si="43"/>
        <v>7062.3525</v>
      </c>
      <c r="N466">
        <f t="shared" si="44"/>
        <v>21187.057499999999</v>
      </c>
      <c r="O466">
        <f t="shared" si="45"/>
        <v>14338.52</v>
      </c>
      <c r="P466">
        <f t="shared" si="46"/>
        <v>6848.5374999999985</v>
      </c>
      <c r="Q466">
        <f t="shared" si="47"/>
        <v>32.324155914524702</v>
      </c>
      <c r="R466" t="s">
        <v>50</v>
      </c>
      <c r="S466" t="s">
        <v>41</v>
      </c>
      <c r="T466">
        <v>3.7</v>
      </c>
    </row>
    <row r="467" spans="1:20">
      <c r="A467" t="s">
        <v>535</v>
      </c>
      <c r="B467" s="3">
        <v>45617</v>
      </c>
      <c r="C467" t="s">
        <v>19</v>
      </c>
      <c r="D467" t="s">
        <v>30</v>
      </c>
      <c r="E467" t="s">
        <v>68</v>
      </c>
      <c r="F467" t="s">
        <v>20</v>
      </c>
      <c r="G467" t="s">
        <v>31</v>
      </c>
      <c r="H467">
        <v>27</v>
      </c>
      <c r="I467">
        <v>533.13</v>
      </c>
      <c r="J467">
        <v>269.91000000000003</v>
      </c>
      <c r="K467">
        <f t="shared" si="42"/>
        <v>14394.51</v>
      </c>
      <c r="L467">
        <v>0</v>
      </c>
      <c r="M467">
        <f t="shared" si="43"/>
        <v>0</v>
      </c>
      <c r="N467">
        <f t="shared" si="44"/>
        <v>14394.51</v>
      </c>
      <c r="O467">
        <f t="shared" si="45"/>
        <v>7287.5700000000006</v>
      </c>
      <c r="P467">
        <f t="shared" si="46"/>
        <v>7106.94</v>
      </c>
      <c r="Q467">
        <f t="shared" si="47"/>
        <v>49.372573293568166</v>
      </c>
      <c r="R467" t="s">
        <v>49</v>
      </c>
      <c r="S467" t="s">
        <v>45</v>
      </c>
      <c r="T467">
        <v>4.5</v>
      </c>
    </row>
    <row r="468" spans="1:20">
      <c r="A468" t="s">
        <v>536</v>
      </c>
      <c r="B468" s="3">
        <v>45617</v>
      </c>
      <c r="C468" t="s">
        <v>19</v>
      </c>
      <c r="D468" t="s">
        <v>30</v>
      </c>
      <c r="E468" t="s">
        <v>68</v>
      </c>
      <c r="F468" t="s">
        <v>22</v>
      </c>
      <c r="G468" t="s">
        <v>33</v>
      </c>
      <c r="H468">
        <v>5</v>
      </c>
      <c r="I468">
        <v>250.93</v>
      </c>
      <c r="J468">
        <v>186.41</v>
      </c>
      <c r="K468">
        <f t="shared" si="42"/>
        <v>1254.6500000000001</v>
      </c>
      <c r="L468">
        <v>0.25</v>
      </c>
      <c r="M468">
        <f t="shared" si="43"/>
        <v>313.66250000000002</v>
      </c>
      <c r="N468">
        <f t="shared" si="44"/>
        <v>940.98750000000007</v>
      </c>
      <c r="O468">
        <f t="shared" si="45"/>
        <v>932.05</v>
      </c>
      <c r="P468">
        <f t="shared" si="46"/>
        <v>8.9375000000001137</v>
      </c>
      <c r="Q468">
        <f t="shared" si="47"/>
        <v>0.94980007704673164</v>
      </c>
      <c r="R468" t="s">
        <v>49</v>
      </c>
      <c r="S468" t="s">
        <v>43</v>
      </c>
      <c r="T468">
        <v>4.2</v>
      </c>
    </row>
    <row r="469" spans="1:20">
      <c r="A469" t="s">
        <v>537</v>
      </c>
      <c r="B469" s="3">
        <v>45618</v>
      </c>
      <c r="C469" t="s">
        <v>19</v>
      </c>
      <c r="D469" t="s">
        <v>30</v>
      </c>
      <c r="E469" t="s">
        <v>68</v>
      </c>
      <c r="F469" t="s">
        <v>23</v>
      </c>
      <c r="G469" t="s">
        <v>38</v>
      </c>
      <c r="H469">
        <v>23</v>
      </c>
      <c r="I469">
        <v>976.15</v>
      </c>
      <c r="J469">
        <v>702.55</v>
      </c>
      <c r="K469">
        <f t="shared" si="42"/>
        <v>22451.45</v>
      </c>
      <c r="L469">
        <v>0.05</v>
      </c>
      <c r="M469">
        <f t="shared" si="43"/>
        <v>1122.5725</v>
      </c>
      <c r="N469">
        <f t="shared" si="44"/>
        <v>21328.877500000002</v>
      </c>
      <c r="O469">
        <f t="shared" si="45"/>
        <v>16158.65</v>
      </c>
      <c r="P469">
        <f t="shared" si="46"/>
        <v>5170.2275000000027</v>
      </c>
      <c r="Q469">
        <f t="shared" si="47"/>
        <v>24.240504452238532</v>
      </c>
      <c r="R469" t="s">
        <v>49</v>
      </c>
      <c r="S469" t="s">
        <v>43</v>
      </c>
      <c r="T469">
        <v>3.3</v>
      </c>
    </row>
    <row r="470" spans="1:20">
      <c r="A470" t="s">
        <v>538</v>
      </c>
      <c r="B470" s="3">
        <v>45619</v>
      </c>
      <c r="C470" t="s">
        <v>19</v>
      </c>
      <c r="D470" t="s">
        <v>28</v>
      </c>
      <c r="E470" t="s">
        <v>86</v>
      </c>
      <c r="F470" t="s">
        <v>23</v>
      </c>
      <c r="G470" t="s">
        <v>44</v>
      </c>
      <c r="H470">
        <v>5</v>
      </c>
      <c r="I470">
        <v>1224.77</v>
      </c>
      <c r="J470">
        <v>999.98</v>
      </c>
      <c r="K470">
        <f t="shared" si="42"/>
        <v>6123.85</v>
      </c>
      <c r="L470">
        <v>0.2</v>
      </c>
      <c r="M470">
        <f t="shared" si="43"/>
        <v>1224.7700000000002</v>
      </c>
      <c r="N470">
        <f t="shared" si="44"/>
        <v>4899.08</v>
      </c>
      <c r="O470">
        <f t="shared" si="45"/>
        <v>4999.8999999999996</v>
      </c>
      <c r="P470">
        <f t="shared" si="46"/>
        <v>-100.81999999999971</v>
      </c>
      <c r="Q470">
        <f t="shared" si="47"/>
        <v>-2.0579374086563131</v>
      </c>
      <c r="R470" t="s">
        <v>49</v>
      </c>
      <c r="S470" t="s">
        <v>45</v>
      </c>
      <c r="T470">
        <v>3.7</v>
      </c>
    </row>
    <row r="471" spans="1:20">
      <c r="A471" t="s">
        <v>539</v>
      </c>
      <c r="B471" s="3">
        <v>45622</v>
      </c>
      <c r="C471" t="s">
        <v>19</v>
      </c>
      <c r="D471" t="s">
        <v>28</v>
      </c>
      <c r="E471" t="s">
        <v>86</v>
      </c>
      <c r="F471" t="s">
        <v>24</v>
      </c>
      <c r="G471" t="s">
        <v>40</v>
      </c>
      <c r="H471">
        <v>11</v>
      </c>
      <c r="I471">
        <v>755.14</v>
      </c>
      <c r="J471">
        <v>383.12</v>
      </c>
      <c r="K471">
        <f t="shared" si="42"/>
        <v>8306.5399999999991</v>
      </c>
      <c r="L471">
        <v>0.15</v>
      </c>
      <c r="M471">
        <f t="shared" si="43"/>
        <v>1245.9809999999998</v>
      </c>
      <c r="N471">
        <f t="shared" si="44"/>
        <v>7060.5589999999993</v>
      </c>
      <c r="O471">
        <f t="shared" si="45"/>
        <v>4214.32</v>
      </c>
      <c r="P471">
        <f t="shared" si="46"/>
        <v>2846.2389999999996</v>
      </c>
      <c r="Q471">
        <f t="shared" si="47"/>
        <v>40.31180817269567</v>
      </c>
      <c r="R471" t="s">
        <v>50</v>
      </c>
      <c r="S471" t="s">
        <v>41</v>
      </c>
      <c r="T471">
        <v>3.5</v>
      </c>
    </row>
    <row r="472" spans="1:20">
      <c r="A472" t="s">
        <v>540</v>
      </c>
      <c r="B472" s="3">
        <v>45622</v>
      </c>
      <c r="C472" t="s">
        <v>19</v>
      </c>
      <c r="D472" t="s">
        <v>32</v>
      </c>
      <c r="E472" t="s">
        <v>86</v>
      </c>
      <c r="F472" t="s">
        <v>24</v>
      </c>
      <c r="G472" t="s">
        <v>29</v>
      </c>
      <c r="H472">
        <v>42</v>
      </c>
      <c r="I472">
        <v>640.12</v>
      </c>
      <c r="J472">
        <v>446.53</v>
      </c>
      <c r="K472">
        <f t="shared" si="42"/>
        <v>26885.040000000001</v>
      </c>
      <c r="L472">
        <v>0.05</v>
      </c>
      <c r="M472">
        <f t="shared" si="43"/>
        <v>1344.2520000000002</v>
      </c>
      <c r="N472">
        <f t="shared" si="44"/>
        <v>25540.788</v>
      </c>
      <c r="O472">
        <f t="shared" si="45"/>
        <v>18754.259999999998</v>
      </c>
      <c r="P472">
        <f t="shared" si="46"/>
        <v>6786.5280000000021</v>
      </c>
      <c r="Q472">
        <f t="shared" si="47"/>
        <v>26.571333664411618</v>
      </c>
      <c r="R472" t="s">
        <v>49</v>
      </c>
      <c r="S472" t="s">
        <v>41</v>
      </c>
      <c r="T472">
        <v>4.9000000000000004</v>
      </c>
    </row>
    <row r="473" spans="1:20">
      <c r="A473" t="s">
        <v>541</v>
      </c>
      <c r="B473" s="3">
        <v>45623</v>
      </c>
      <c r="C473" t="s">
        <v>19</v>
      </c>
      <c r="D473" t="s">
        <v>28</v>
      </c>
      <c r="E473" t="s">
        <v>86</v>
      </c>
      <c r="F473" t="s">
        <v>24</v>
      </c>
      <c r="G473" t="s">
        <v>40</v>
      </c>
      <c r="H473">
        <v>34</v>
      </c>
      <c r="I473">
        <v>1376.76</v>
      </c>
      <c r="J473">
        <v>696.67</v>
      </c>
      <c r="K473">
        <f t="shared" si="42"/>
        <v>46809.84</v>
      </c>
      <c r="L473">
        <v>0.1</v>
      </c>
      <c r="M473">
        <f t="shared" si="43"/>
        <v>4680.9839999999995</v>
      </c>
      <c r="N473">
        <f t="shared" si="44"/>
        <v>42128.856</v>
      </c>
      <c r="O473">
        <f t="shared" si="45"/>
        <v>23686.78</v>
      </c>
      <c r="P473">
        <f t="shared" si="46"/>
        <v>18442.076000000001</v>
      </c>
      <c r="Q473">
        <f t="shared" si="47"/>
        <v>43.775401829093106</v>
      </c>
      <c r="R473" t="s">
        <v>51</v>
      </c>
      <c r="S473" t="s">
        <v>45</v>
      </c>
      <c r="T473">
        <v>4.3</v>
      </c>
    </row>
    <row r="474" spans="1:20">
      <c r="A474" t="s">
        <v>542</v>
      </c>
      <c r="B474" s="3">
        <v>45624</v>
      </c>
      <c r="C474" t="s">
        <v>19</v>
      </c>
      <c r="D474" t="s">
        <v>30</v>
      </c>
      <c r="E474" t="s">
        <v>68</v>
      </c>
      <c r="F474" t="s">
        <v>20</v>
      </c>
      <c r="G474" t="s">
        <v>31</v>
      </c>
      <c r="H474">
        <v>49</v>
      </c>
      <c r="I474">
        <v>391.44</v>
      </c>
      <c r="J474">
        <v>230.64</v>
      </c>
      <c r="K474">
        <f t="shared" si="42"/>
        <v>19180.560000000001</v>
      </c>
      <c r="L474">
        <v>0.2</v>
      </c>
      <c r="M474">
        <f t="shared" si="43"/>
        <v>3836.1120000000005</v>
      </c>
      <c r="N474">
        <f t="shared" si="44"/>
        <v>15344.448</v>
      </c>
      <c r="O474">
        <f t="shared" si="45"/>
        <v>11301.359999999999</v>
      </c>
      <c r="P474">
        <f t="shared" si="46"/>
        <v>4043.0880000000016</v>
      </c>
      <c r="Q474">
        <f t="shared" si="47"/>
        <v>26.348865726548137</v>
      </c>
      <c r="R474" t="s">
        <v>51</v>
      </c>
      <c r="S474" t="s">
        <v>43</v>
      </c>
      <c r="T474">
        <v>3.6</v>
      </c>
    </row>
    <row r="475" spans="1:20">
      <c r="A475" t="s">
        <v>543</v>
      </c>
      <c r="B475" s="3">
        <v>45624</v>
      </c>
      <c r="C475" t="s">
        <v>19</v>
      </c>
      <c r="D475" t="s">
        <v>30</v>
      </c>
      <c r="E475" t="s">
        <v>68</v>
      </c>
      <c r="F475" t="s">
        <v>22</v>
      </c>
      <c r="G475" t="s">
        <v>33</v>
      </c>
      <c r="H475">
        <v>20</v>
      </c>
      <c r="I475">
        <v>983.83</v>
      </c>
      <c r="J475">
        <v>611.72</v>
      </c>
      <c r="K475">
        <f t="shared" si="42"/>
        <v>19676.600000000002</v>
      </c>
      <c r="L475">
        <v>0.05</v>
      </c>
      <c r="M475">
        <f t="shared" si="43"/>
        <v>983.83000000000015</v>
      </c>
      <c r="N475">
        <f t="shared" si="44"/>
        <v>18692.77</v>
      </c>
      <c r="O475">
        <f t="shared" si="45"/>
        <v>12234.400000000001</v>
      </c>
      <c r="P475">
        <f t="shared" si="46"/>
        <v>6458.369999999999</v>
      </c>
      <c r="Q475">
        <f t="shared" si="47"/>
        <v>34.550096106676534</v>
      </c>
      <c r="R475" t="s">
        <v>50</v>
      </c>
      <c r="S475" t="s">
        <v>43</v>
      </c>
      <c r="T475">
        <v>4.5999999999999996</v>
      </c>
    </row>
    <row r="476" spans="1:20">
      <c r="A476" t="s">
        <v>544</v>
      </c>
      <c r="B476" s="3">
        <v>45625</v>
      </c>
      <c r="C476" t="s">
        <v>19</v>
      </c>
      <c r="D476" t="s">
        <v>26</v>
      </c>
      <c r="E476" t="s">
        <v>70</v>
      </c>
      <c r="F476" t="s">
        <v>22</v>
      </c>
      <c r="G476" t="s">
        <v>42</v>
      </c>
      <c r="H476">
        <v>34</v>
      </c>
      <c r="I476">
        <v>565.05999999999995</v>
      </c>
      <c r="J476">
        <v>392.41</v>
      </c>
      <c r="K476">
        <f t="shared" si="42"/>
        <v>19212.039999999997</v>
      </c>
      <c r="L476">
        <v>0</v>
      </c>
      <c r="M476">
        <f t="shared" si="43"/>
        <v>0</v>
      </c>
      <c r="N476">
        <f t="shared" si="44"/>
        <v>19212.039999999997</v>
      </c>
      <c r="O476">
        <f t="shared" si="45"/>
        <v>13341.94</v>
      </c>
      <c r="P476">
        <f t="shared" si="46"/>
        <v>5870.0999999999967</v>
      </c>
      <c r="Q476">
        <f t="shared" si="47"/>
        <v>30.554277421866693</v>
      </c>
      <c r="R476" t="s">
        <v>50</v>
      </c>
      <c r="S476" t="s">
        <v>45</v>
      </c>
      <c r="T476">
        <v>3.3</v>
      </c>
    </row>
    <row r="477" spans="1:20">
      <c r="A477" t="s">
        <v>545</v>
      </c>
      <c r="B477" s="3">
        <v>45625</v>
      </c>
      <c r="C477" t="s">
        <v>19</v>
      </c>
      <c r="D477" t="s">
        <v>32</v>
      </c>
      <c r="E477" t="s">
        <v>68</v>
      </c>
      <c r="F477" t="s">
        <v>23</v>
      </c>
      <c r="G477" t="s">
        <v>37</v>
      </c>
      <c r="H477">
        <v>48</v>
      </c>
      <c r="I477">
        <v>1090.42</v>
      </c>
      <c r="J477">
        <v>764.44</v>
      </c>
      <c r="K477">
        <f t="shared" si="42"/>
        <v>52340.160000000003</v>
      </c>
      <c r="L477">
        <v>0.1</v>
      </c>
      <c r="M477">
        <f t="shared" si="43"/>
        <v>5234.0160000000005</v>
      </c>
      <c r="N477">
        <f t="shared" si="44"/>
        <v>47106.144</v>
      </c>
      <c r="O477">
        <f t="shared" si="45"/>
        <v>36693.120000000003</v>
      </c>
      <c r="P477">
        <f t="shared" si="46"/>
        <v>10413.023999999998</v>
      </c>
      <c r="Q477">
        <f t="shared" si="47"/>
        <v>22.10544764606502</v>
      </c>
      <c r="R477" t="s">
        <v>51</v>
      </c>
      <c r="S477" t="s">
        <v>45</v>
      </c>
      <c r="T477">
        <v>3.2</v>
      </c>
    </row>
    <row r="478" spans="1:20">
      <c r="A478" t="s">
        <v>546</v>
      </c>
      <c r="B478" s="3">
        <v>45625</v>
      </c>
      <c r="C478" t="s">
        <v>19</v>
      </c>
      <c r="D478" t="s">
        <v>30</v>
      </c>
      <c r="E478" t="s">
        <v>68</v>
      </c>
      <c r="F478" t="s">
        <v>24</v>
      </c>
      <c r="G478" t="s">
        <v>40</v>
      </c>
      <c r="H478">
        <v>48</v>
      </c>
      <c r="I478">
        <v>249.17</v>
      </c>
      <c r="J478">
        <v>170.74</v>
      </c>
      <c r="K478">
        <f t="shared" si="42"/>
        <v>11960.16</v>
      </c>
      <c r="L478">
        <v>0.15</v>
      </c>
      <c r="M478">
        <f t="shared" si="43"/>
        <v>1794.0239999999999</v>
      </c>
      <c r="N478">
        <f t="shared" si="44"/>
        <v>10166.136</v>
      </c>
      <c r="O478">
        <f t="shared" si="45"/>
        <v>8195.52</v>
      </c>
      <c r="P478">
        <f t="shared" si="46"/>
        <v>1970.616</v>
      </c>
      <c r="Q478">
        <f t="shared" si="47"/>
        <v>19.384119984229994</v>
      </c>
      <c r="R478" t="s">
        <v>49</v>
      </c>
      <c r="S478" t="s">
        <v>47</v>
      </c>
      <c r="T478">
        <v>4.5999999999999996</v>
      </c>
    </row>
    <row r="479" spans="1:20">
      <c r="A479" t="s">
        <v>547</v>
      </c>
      <c r="B479" s="3">
        <v>45625</v>
      </c>
      <c r="C479" t="s">
        <v>19</v>
      </c>
      <c r="D479" t="s">
        <v>28</v>
      </c>
      <c r="E479" t="s">
        <v>68</v>
      </c>
      <c r="F479" t="s">
        <v>20</v>
      </c>
      <c r="G479" t="s">
        <v>34</v>
      </c>
      <c r="H479">
        <v>18</v>
      </c>
      <c r="I479">
        <v>1005.92</v>
      </c>
      <c r="J479">
        <v>464.27</v>
      </c>
      <c r="K479">
        <f t="shared" si="42"/>
        <v>18106.559999999998</v>
      </c>
      <c r="L479">
        <v>0.15</v>
      </c>
      <c r="M479">
        <f t="shared" si="43"/>
        <v>2715.9839999999995</v>
      </c>
      <c r="N479">
        <f t="shared" si="44"/>
        <v>15390.575999999997</v>
      </c>
      <c r="O479">
        <f t="shared" si="45"/>
        <v>8356.86</v>
      </c>
      <c r="P479">
        <f t="shared" si="46"/>
        <v>7033.7159999999967</v>
      </c>
      <c r="Q479">
        <f t="shared" si="47"/>
        <v>45.701447431207235</v>
      </c>
      <c r="R479" t="s">
        <v>50</v>
      </c>
      <c r="S479" t="s">
        <v>43</v>
      </c>
      <c r="T479">
        <v>4.2</v>
      </c>
    </row>
    <row r="480" spans="1:20">
      <c r="A480" t="s">
        <v>548</v>
      </c>
      <c r="B480" s="3">
        <v>45628</v>
      </c>
      <c r="C480" t="s">
        <v>19</v>
      </c>
      <c r="D480" t="s">
        <v>30</v>
      </c>
      <c r="E480" t="s">
        <v>68</v>
      </c>
      <c r="F480" t="s">
        <v>24</v>
      </c>
      <c r="G480" t="s">
        <v>40</v>
      </c>
      <c r="H480">
        <v>39</v>
      </c>
      <c r="I480">
        <v>477.1</v>
      </c>
      <c r="J480">
        <v>241.48</v>
      </c>
      <c r="K480">
        <f t="shared" si="42"/>
        <v>18606.900000000001</v>
      </c>
      <c r="L480">
        <v>0.15</v>
      </c>
      <c r="M480">
        <f t="shared" si="43"/>
        <v>2791.0350000000003</v>
      </c>
      <c r="N480">
        <f t="shared" si="44"/>
        <v>15815.865000000002</v>
      </c>
      <c r="O480">
        <f t="shared" si="45"/>
        <v>9417.7199999999993</v>
      </c>
      <c r="P480">
        <f t="shared" si="46"/>
        <v>6398.1450000000023</v>
      </c>
      <c r="Q480">
        <f t="shared" si="47"/>
        <v>40.453968214827334</v>
      </c>
      <c r="R480" t="s">
        <v>49</v>
      </c>
      <c r="S480" t="s">
        <v>43</v>
      </c>
      <c r="T480">
        <v>4.3</v>
      </c>
    </row>
    <row r="481" spans="1:20">
      <c r="A481" t="s">
        <v>549</v>
      </c>
      <c r="B481" s="3">
        <v>45628</v>
      </c>
      <c r="C481" t="s">
        <v>19</v>
      </c>
      <c r="D481" t="s">
        <v>28</v>
      </c>
      <c r="E481" t="s">
        <v>68</v>
      </c>
      <c r="F481" t="s">
        <v>23</v>
      </c>
      <c r="G481" t="s">
        <v>37</v>
      </c>
      <c r="H481">
        <v>26</v>
      </c>
      <c r="I481">
        <v>13.69</v>
      </c>
      <c r="J481">
        <v>10.56</v>
      </c>
      <c r="K481">
        <f t="shared" si="42"/>
        <v>355.94</v>
      </c>
      <c r="L481">
        <v>0.05</v>
      </c>
      <c r="M481">
        <f t="shared" si="43"/>
        <v>17.797000000000001</v>
      </c>
      <c r="N481">
        <f t="shared" si="44"/>
        <v>338.14299999999997</v>
      </c>
      <c r="O481">
        <f t="shared" si="45"/>
        <v>274.56</v>
      </c>
      <c r="P481">
        <f t="shared" si="46"/>
        <v>63.58299999999997</v>
      </c>
      <c r="Q481">
        <f t="shared" si="47"/>
        <v>18.803583099457917</v>
      </c>
      <c r="R481" t="s">
        <v>50</v>
      </c>
      <c r="S481" t="s">
        <v>41</v>
      </c>
      <c r="T481">
        <v>4.3</v>
      </c>
    </row>
    <row r="482" spans="1:20">
      <c r="A482" t="s">
        <v>550</v>
      </c>
      <c r="B482" s="3">
        <v>45629</v>
      </c>
      <c r="C482" t="s">
        <v>19</v>
      </c>
      <c r="D482" t="s">
        <v>30</v>
      </c>
      <c r="E482" t="s">
        <v>68</v>
      </c>
      <c r="F482" t="s">
        <v>22</v>
      </c>
      <c r="G482" t="s">
        <v>42</v>
      </c>
      <c r="H482">
        <v>44</v>
      </c>
      <c r="I482">
        <v>155.86000000000001</v>
      </c>
      <c r="J482">
        <v>105.07</v>
      </c>
      <c r="K482">
        <f t="shared" si="42"/>
        <v>6857.84</v>
      </c>
      <c r="L482">
        <v>0.15</v>
      </c>
      <c r="M482">
        <f t="shared" si="43"/>
        <v>1028.6759999999999</v>
      </c>
      <c r="N482">
        <f t="shared" si="44"/>
        <v>5829.1640000000007</v>
      </c>
      <c r="O482">
        <f t="shared" si="45"/>
        <v>4623.08</v>
      </c>
      <c r="P482">
        <f t="shared" si="46"/>
        <v>1206.0840000000007</v>
      </c>
      <c r="Q482">
        <f t="shared" si="47"/>
        <v>20.690514111457503</v>
      </c>
      <c r="R482" t="s">
        <v>49</v>
      </c>
      <c r="S482" t="s">
        <v>41</v>
      </c>
      <c r="T482">
        <v>4.2</v>
      </c>
    </row>
    <row r="483" spans="1:20">
      <c r="A483" t="s">
        <v>551</v>
      </c>
      <c r="B483" s="3">
        <v>45629</v>
      </c>
      <c r="C483" t="s">
        <v>19</v>
      </c>
      <c r="D483" t="s">
        <v>28</v>
      </c>
      <c r="E483" t="s">
        <v>68</v>
      </c>
      <c r="F483" t="s">
        <v>20</v>
      </c>
      <c r="G483" t="s">
        <v>31</v>
      </c>
      <c r="H483">
        <v>22</v>
      </c>
      <c r="I483">
        <v>1384</v>
      </c>
      <c r="J483">
        <v>589.66999999999996</v>
      </c>
      <c r="K483">
        <f t="shared" si="42"/>
        <v>30448</v>
      </c>
      <c r="L483">
        <v>0</v>
      </c>
      <c r="M483">
        <f t="shared" si="43"/>
        <v>0</v>
      </c>
      <c r="N483">
        <f t="shared" si="44"/>
        <v>30448</v>
      </c>
      <c r="O483">
        <f t="shared" si="45"/>
        <v>12972.74</v>
      </c>
      <c r="P483">
        <f t="shared" si="46"/>
        <v>17475.260000000002</v>
      </c>
      <c r="Q483">
        <f t="shared" si="47"/>
        <v>57.393786127167637</v>
      </c>
      <c r="R483" t="s">
        <v>51</v>
      </c>
      <c r="S483" t="s">
        <v>43</v>
      </c>
      <c r="T483">
        <v>4.2</v>
      </c>
    </row>
    <row r="484" spans="1:20">
      <c r="A484" t="s">
        <v>552</v>
      </c>
      <c r="B484" s="3">
        <v>45629</v>
      </c>
      <c r="C484" t="s">
        <v>19</v>
      </c>
      <c r="D484" t="s">
        <v>28</v>
      </c>
      <c r="E484" t="s">
        <v>68</v>
      </c>
      <c r="F484" t="s">
        <v>24</v>
      </c>
      <c r="G484" t="s">
        <v>29</v>
      </c>
      <c r="H484">
        <v>4</v>
      </c>
      <c r="I484">
        <v>1257.3599999999999</v>
      </c>
      <c r="J484">
        <v>765.85</v>
      </c>
      <c r="K484">
        <f t="shared" si="42"/>
        <v>5029.4399999999996</v>
      </c>
      <c r="L484">
        <v>0.05</v>
      </c>
      <c r="M484">
        <f t="shared" si="43"/>
        <v>251.47199999999998</v>
      </c>
      <c r="N484">
        <f t="shared" si="44"/>
        <v>4777.9679999999998</v>
      </c>
      <c r="O484">
        <f t="shared" si="45"/>
        <v>3063.4</v>
      </c>
      <c r="P484">
        <f t="shared" si="46"/>
        <v>1714.5679999999998</v>
      </c>
      <c r="Q484">
        <f t="shared" si="47"/>
        <v>35.884878257870291</v>
      </c>
      <c r="R484" t="s">
        <v>51</v>
      </c>
      <c r="S484" t="s">
        <v>41</v>
      </c>
      <c r="T484">
        <v>4.0999999999999996</v>
      </c>
    </row>
    <row r="485" spans="1:20">
      <c r="A485" t="s">
        <v>553</v>
      </c>
      <c r="B485" s="3">
        <v>45631</v>
      </c>
      <c r="C485" t="s">
        <v>19</v>
      </c>
      <c r="D485" t="s">
        <v>32</v>
      </c>
      <c r="E485" t="s">
        <v>68</v>
      </c>
      <c r="F485" t="s">
        <v>24</v>
      </c>
      <c r="G485" t="s">
        <v>40</v>
      </c>
      <c r="H485">
        <v>46</v>
      </c>
      <c r="I485">
        <v>1363.15</v>
      </c>
      <c r="J485">
        <v>783.11</v>
      </c>
      <c r="K485">
        <f t="shared" si="42"/>
        <v>62704.9</v>
      </c>
      <c r="L485">
        <v>0</v>
      </c>
      <c r="M485">
        <f t="shared" si="43"/>
        <v>0</v>
      </c>
      <c r="N485">
        <f t="shared" si="44"/>
        <v>62704.9</v>
      </c>
      <c r="O485">
        <f t="shared" si="45"/>
        <v>36023.06</v>
      </c>
      <c r="P485">
        <f t="shared" si="46"/>
        <v>26681.840000000004</v>
      </c>
      <c r="Q485">
        <f t="shared" si="47"/>
        <v>42.551443348127506</v>
      </c>
      <c r="R485" t="s">
        <v>49</v>
      </c>
      <c r="S485" t="s">
        <v>47</v>
      </c>
      <c r="T485">
        <v>3.1</v>
      </c>
    </row>
    <row r="486" spans="1:20">
      <c r="A486" t="s">
        <v>554</v>
      </c>
      <c r="B486" s="3">
        <v>45631</v>
      </c>
      <c r="C486" t="s">
        <v>19</v>
      </c>
      <c r="D486" t="s">
        <v>30</v>
      </c>
      <c r="E486" t="s">
        <v>68</v>
      </c>
      <c r="F486" t="s">
        <v>22</v>
      </c>
      <c r="G486" t="s">
        <v>33</v>
      </c>
      <c r="H486">
        <v>7</v>
      </c>
      <c r="I486">
        <v>279.56</v>
      </c>
      <c r="J486">
        <v>190.98</v>
      </c>
      <c r="K486">
        <f t="shared" si="42"/>
        <v>1956.92</v>
      </c>
      <c r="L486">
        <v>0</v>
      </c>
      <c r="M486">
        <f t="shared" si="43"/>
        <v>0</v>
      </c>
      <c r="N486">
        <f t="shared" si="44"/>
        <v>1956.92</v>
      </c>
      <c r="O486">
        <f t="shared" si="45"/>
        <v>1336.86</v>
      </c>
      <c r="P486">
        <f t="shared" si="46"/>
        <v>620.06000000000017</v>
      </c>
      <c r="Q486">
        <f t="shared" si="47"/>
        <v>31.68550579482044</v>
      </c>
      <c r="R486" t="s">
        <v>49</v>
      </c>
      <c r="S486" t="s">
        <v>43</v>
      </c>
      <c r="T486">
        <v>4.5</v>
      </c>
    </row>
    <row r="487" spans="1:20">
      <c r="A487" t="s">
        <v>555</v>
      </c>
      <c r="B487" s="3">
        <v>45632</v>
      </c>
      <c r="C487" t="s">
        <v>19</v>
      </c>
      <c r="D487" t="s">
        <v>30</v>
      </c>
      <c r="E487" t="s">
        <v>70</v>
      </c>
      <c r="F487" t="s">
        <v>22</v>
      </c>
      <c r="G487" t="s">
        <v>33</v>
      </c>
      <c r="H487">
        <v>29</v>
      </c>
      <c r="I487">
        <v>129.61000000000001</v>
      </c>
      <c r="J487">
        <v>80.33</v>
      </c>
      <c r="K487">
        <f t="shared" si="42"/>
        <v>3758.6900000000005</v>
      </c>
      <c r="L487">
        <v>0</v>
      </c>
      <c r="M487">
        <f t="shared" si="43"/>
        <v>0</v>
      </c>
      <c r="N487">
        <f t="shared" si="44"/>
        <v>3758.6900000000005</v>
      </c>
      <c r="O487">
        <f t="shared" si="45"/>
        <v>2329.5700000000002</v>
      </c>
      <c r="P487">
        <f t="shared" si="46"/>
        <v>1429.1200000000003</v>
      </c>
      <c r="Q487">
        <f t="shared" si="47"/>
        <v>38.021757580433615</v>
      </c>
      <c r="R487" t="s">
        <v>51</v>
      </c>
      <c r="S487" t="s">
        <v>43</v>
      </c>
      <c r="T487">
        <v>3.1</v>
      </c>
    </row>
    <row r="488" spans="1:20">
      <c r="A488" t="s">
        <v>556</v>
      </c>
      <c r="B488" s="3">
        <v>45633</v>
      </c>
      <c r="C488" t="s">
        <v>19</v>
      </c>
      <c r="D488" t="s">
        <v>28</v>
      </c>
      <c r="E488" t="s">
        <v>68</v>
      </c>
      <c r="F488" t="s">
        <v>24</v>
      </c>
      <c r="G488" t="s">
        <v>29</v>
      </c>
      <c r="H488">
        <v>39</v>
      </c>
      <c r="I488">
        <v>711.41</v>
      </c>
      <c r="J488">
        <v>491.52</v>
      </c>
      <c r="K488">
        <f t="shared" si="42"/>
        <v>27744.989999999998</v>
      </c>
      <c r="L488">
        <v>0</v>
      </c>
      <c r="M488">
        <f t="shared" si="43"/>
        <v>0</v>
      </c>
      <c r="N488">
        <f t="shared" si="44"/>
        <v>27744.989999999998</v>
      </c>
      <c r="O488">
        <f t="shared" si="45"/>
        <v>19169.28</v>
      </c>
      <c r="P488">
        <f t="shared" si="46"/>
        <v>8575.7099999999991</v>
      </c>
      <c r="Q488">
        <f t="shared" si="47"/>
        <v>30.909039794211495</v>
      </c>
      <c r="R488" t="s">
        <v>49</v>
      </c>
      <c r="S488" t="s">
        <v>41</v>
      </c>
      <c r="T488">
        <v>3.5</v>
      </c>
    </row>
    <row r="489" spans="1:20">
      <c r="A489" t="s">
        <v>557</v>
      </c>
      <c r="B489" s="3">
        <v>45633</v>
      </c>
      <c r="C489" t="s">
        <v>19</v>
      </c>
      <c r="D489" t="s">
        <v>28</v>
      </c>
      <c r="E489" t="s">
        <v>68</v>
      </c>
      <c r="F489" t="s">
        <v>22</v>
      </c>
      <c r="G489" t="s">
        <v>33</v>
      </c>
      <c r="H489">
        <v>38</v>
      </c>
      <c r="I489">
        <v>208.02</v>
      </c>
      <c r="J489">
        <v>154.72999999999999</v>
      </c>
      <c r="K489">
        <f t="shared" si="42"/>
        <v>7904.76</v>
      </c>
      <c r="L489">
        <v>0.1</v>
      </c>
      <c r="M489">
        <f t="shared" si="43"/>
        <v>790.47600000000011</v>
      </c>
      <c r="N489">
        <f t="shared" si="44"/>
        <v>7114.2839999999997</v>
      </c>
      <c r="O489">
        <f t="shared" si="45"/>
        <v>5879.74</v>
      </c>
      <c r="P489">
        <f t="shared" si="46"/>
        <v>1234.5439999999999</v>
      </c>
      <c r="Q489">
        <f t="shared" si="47"/>
        <v>17.353032293903365</v>
      </c>
      <c r="R489" t="s">
        <v>51</v>
      </c>
      <c r="S489" t="s">
        <v>41</v>
      </c>
      <c r="T489">
        <v>3.9</v>
      </c>
    </row>
    <row r="490" spans="1:20">
      <c r="A490" t="s">
        <v>558</v>
      </c>
      <c r="B490" s="3">
        <v>45635</v>
      </c>
      <c r="C490" t="s">
        <v>19</v>
      </c>
      <c r="D490" t="s">
        <v>26</v>
      </c>
      <c r="E490" t="s">
        <v>70</v>
      </c>
      <c r="F490" t="s">
        <v>22</v>
      </c>
      <c r="G490" t="s">
        <v>35</v>
      </c>
      <c r="H490">
        <v>7</v>
      </c>
      <c r="I490">
        <v>128.29</v>
      </c>
      <c r="J490">
        <v>78.25</v>
      </c>
      <c r="K490">
        <f t="shared" si="42"/>
        <v>898.03</v>
      </c>
      <c r="L490">
        <v>0</v>
      </c>
      <c r="M490">
        <f t="shared" si="43"/>
        <v>0</v>
      </c>
      <c r="N490">
        <f t="shared" si="44"/>
        <v>898.03</v>
      </c>
      <c r="O490">
        <f t="shared" si="45"/>
        <v>547.75</v>
      </c>
      <c r="P490">
        <f t="shared" si="46"/>
        <v>350.28</v>
      </c>
      <c r="Q490">
        <f t="shared" si="47"/>
        <v>39.005378439473063</v>
      </c>
      <c r="R490" t="s">
        <v>50</v>
      </c>
      <c r="S490" t="s">
        <v>41</v>
      </c>
      <c r="T490">
        <v>4.9000000000000004</v>
      </c>
    </row>
    <row r="491" spans="1:20">
      <c r="A491" t="s">
        <v>559</v>
      </c>
      <c r="B491" s="3">
        <v>45637</v>
      </c>
      <c r="C491" t="s">
        <v>19</v>
      </c>
      <c r="D491" t="s">
        <v>26</v>
      </c>
      <c r="E491" t="s">
        <v>68</v>
      </c>
      <c r="F491" t="s">
        <v>20</v>
      </c>
      <c r="G491" t="s">
        <v>34</v>
      </c>
      <c r="H491">
        <v>30</v>
      </c>
      <c r="I491">
        <v>1271.9100000000001</v>
      </c>
      <c r="J491">
        <v>480.06</v>
      </c>
      <c r="K491">
        <f t="shared" si="42"/>
        <v>38157.300000000003</v>
      </c>
      <c r="L491">
        <v>0.05</v>
      </c>
      <c r="M491">
        <f t="shared" si="43"/>
        <v>1907.8650000000002</v>
      </c>
      <c r="N491">
        <f t="shared" si="44"/>
        <v>36249.435000000005</v>
      </c>
      <c r="O491">
        <f t="shared" si="45"/>
        <v>14401.8</v>
      </c>
      <c r="P491">
        <f t="shared" si="46"/>
        <v>21847.635000000006</v>
      </c>
      <c r="Q491">
        <f t="shared" si="47"/>
        <v>60.270277316046453</v>
      </c>
      <c r="R491" t="s">
        <v>49</v>
      </c>
      <c r="S491" t="s">
        <v>41</v>
      </c>
      <c r="T491">
        <v>4.5999999999999996</v>
      </c>
    </row>
    <row r="492" spans="1:20">
      <c r="A492" t="s">
        <v>560</v>
      </c>
      <c r="B492" s="3">
        <v>45637</v>
      </c>
      <c r="C492" t="s">
        <v>19</v>
      </c>
      <c r="D492" t="s">
        <v>28</v>
      </c>
      <c r="E492" t="s">
        <v>68</v>
      </c>
      <c r="F492" t="s">
        <v>22</v>
      </c>
      <c r="G492" t="s">
        <v>35</v>
      </c>
      <c r="H492">
        <v>35</v>
      </c>
      <c r="I492">
        <v>909.86</v>
      </c>
      <c r="J492">
        <v>644.97</v>
      </c>
      <c r="K492">
        <f t="shared" si="42"/>
        <v>31845.100000000002</v>
      </c>
      <c r="L492">
        <v>0</v>
      </c>
      <c r="M492">
        <f t="shared" si="43"/>
        <v>0</v>
      </c>
      <c r="N492">
        <f t="shared" si="44"/>
        <v>31845.100000000002</v>
      </c>
      <c r="O492">
        <f t="shared" si="45"/>
        <v>22573.95</v>
      </c>
      <c r="P492">
        <f t="shared" si="46"/>
        <v>9271.1500000000015</v>
      </c>
      <c r="Q492">
        <f t="shared" si="47"/>
        <v>29.113270173433275</v>
      </c>
      <c r="R492" t="s">
        <v>49</v>
      </c>
      <c r="S492" t="s">
        <v>41</v>
      </c>
      <c r="T492">
        <v>3.7</v>
      </c>
    </row>
    <row r="493" spans="1:20">
      <c r="A493" t="s">
        <v>561</v>
      </c>
      <c r="B493" s="3">
        <v>45639</v>
      </c>
      <c r="C493" t="s">
        <v>19</v>
      </c>
      <c r="D493" t="s">
        <v>26</v>
      </c>
      <c r="E493" t="s">
        <v>70</v>
      </c>
      <c r="F493" t="s">
        <v>24</v>
      </c>
      <c r="G493" t="s">
        <v>46</v>
      </c>
      <c r="H493">
        <v>14</v>
      </c>
      <c r="I493">
        <v>687.21</v>
      </c>
      <c r="J493">
        <v>395.81</v>
      </c>
      <c r="K493">
        <f t="shared" si="42"/>
        <v>9620.94</v>
      </c>
      <c r="L493">
        <v>0</v>
      </c>
      <c r="M493">
        <f t="shared" si="43"/>
        <v>0</v>
      </c>
      <c r="N493">
        <f t="shared" si="44"/>
        <v>9620.94</v>
      </c>
      <c r="O493">
        <f t="shared" si="45"/>
        <v>5541.34</v>
      </c>
      <c r="P493">
        <f t="shared" si="46"/>
        <v>4079.6000000000004</v>
      </c>
      <c r="Q493">
        <f t="shared" si="47"/>
        <v>42.40334104567745</v>
      </c>
      <c r="R493" t="s">
        <v>49</v>
      </c>
      <c r="S493" t="s">
        <v>43</v>
      </c>
      <c r="T493">
        <v>4.7</v>
      </c>
    </row>
    <row r="494" spans="1:20">
      <c r="A494" t="s">
        <v>562</v>
      </c>
      <c r="B494" s="3">
        <v>45639</v>
      </c>
      <c r="C494" t="s">
        <v>19</v>
      </c>
      <c r="D494" t="s">
        <v>28</v>
      </c>
      <c r="E494" t="s">
        <v>68</v>
      </c>
      <c r="F494" t="s">
        <v>20</v>
      </c>
      <c r="G494" t="s">
        <v>31</v>
      </c>
      <c r="H494">
        <v>12</v>
      </c>
      <c r="I494">
        <v>1391.54</v>
      </c>
      <c r="J494">
        <v>738.43</v>
      </c>
      <c r="K494">
        <f t="shared" si="42"/>
        <v>16698.48</v>
      </c>
      <c r="L494">
        <v>0</v>
      </c>
      <c r="M494">
        <f t="shared" si="43"/>
        <v>0</v>
      </c>
      <c r="N494">
        <f t="shared" si="44"/>
        <v>16698.48</v>
      </c>
      <c r="O494">
        <f t="shared" si="45"/>
        <v>8861.16</v>
      </c>
      <c r="P494">
        <f t="shared" si="46"/>
        <v>7837.32</v>
      </c>
      <c r="Q494">
        <f t="shared" si="47"/>
        <v>46.93433174756025</v>
      </c>
      <c r="R494" t="s">
        <v>50</v>
      </c>
      <c r="S494" t="s">
        <v>47</v>
      </c>
      <c r="T494">
        <v>3.1</v>
      </c>
    </row>
    <row r="495" spans="1:20">
      <c r="A495" t="s">
        <v>563</v>
      </c>
      <c r="B495" s="3">
        <v>45640</v>
      </c>
      <c r="C495" t="s">
        <v>19</v>
      </c>
      <c r="D495" t="s">
        <v>32</v>
      </c>
      <c r="E495" t="s">
        <v>70</v>
      </c>
      <c r="F495" t="s">
        <v>20</v>
      </c>
      <c r="G495" t="s">
        <v>36</v>
      </c>
      <c r="H495">
        <v>11</v>
      </c>
      <c r="I495">
        <v>589.49</v>
      </c>
      <c r="J495">
        <v>325.97000000000003</v>
      </c>
      <c r="K495">
        <f t="shared" si="42"/>
        <v>6484.39</v>
      </c>
      <c r="L495">
        <v>0</v>
      </c>
      <c r="M495">
        <f t="shared" si="43"/>
        <v>0</v>
      </c>
      <c r="N495">
        <f t="shared" si="44"/>
        <v>6484.39</v>
      </c>
      <c r="O495">
        <f t="shared" si="45"/>
        <v>3585.67</v>
      </c>
      <c r="P495">
        <f t="shared" si="46"/>
        <v>2898.7200000000003</v>
      </c>
      <c r="Q495">
        <f t="shared" si="47"/>
        <v>44.703048397767567</v>
      </c>
      <c r="R495" t="s">
        <v>49</v>
      </c>
      <c r="S495" t="s">
        <v>47</v>
      </c>
      <c r="T495">
        <v>4.0999999999999996</v>
      </c>
    </row>
    <row r="496" spans="1:20">
      <c r="A496" t="s">
        <v>564</v>
      </c>
      <c r="B496" s="3">
        <v>45640</v>
      </c>
      <c r="C496" t="s">
        <v>19</v>
      </c>
      <c r="D496" t="s">
        <v>28</v>
      </c>
      <c r="E496" t="s">
        <v>70</v>
      </c>
      <c r="F496" t="s">
        <v>22</v>
      </c>
      <c r="G496" t="s">
        <v>35</v>
      </c>
      <c r="H496">
        <v>48</v>
      </c>
      <c r="I496">
        <v>1020.33</v>
      </c>
      <c r="J496">
        <v>721.64</v>
      </c>
      <c r="K496">
        <f t="shared" si="42"/>
        <v>48975.840000000004</v>
      </c>
      <c r="L496">
        <v>0.1</v>
      </c>
      <c r="M496">
        <f t="shared" si="43"/>
        <v>4897.5840000000007</v>
      </c>
      <c r="N496">
        <f t="shared" si="44"/>
        <v>44078.256000000001</v>
      </c>
      <c r="O496">
        <f t="shared" si="45"/>
        <v>34638.720000000001</v>
      </c>
      <c r="P496">
        <f t="shared" si="46"/>
        <v>9439.5360000000001</v>
      </c>
      <c r="Q496">
        <f t="shared" si="47"/>
        <v>21.415402642064603</v>
      </c>
      <c r="R496" t="s">
        <v>50</v>
      </c>
      <c r="S496" t="s">
        <v>43</v>
      </c>
      <c r="T496">
        <v>4.4000000000000004</v>
      </c>
    </row>
    <row r="497" spans="1:20">
      <c r="A497" t="s">
        <v>565</v>
      </c>
      <c r="B497" s="3">
        <v>45641</v>
      </c>
      <c r="C497" t="s">
        <v>19</v>
      </c>
      <c r="D497" t="s">
        <v>32</v>
      </c>
      <c r="E497" t="s">
        <v>70</v>
      </c>
      <c r="F497" t="s">
        <v>22</v>
      </c>
      <c r="G497" t="s">
        <v>33</v>
      </c>
      <c r="H497">
        <v>29</v>
      </c>
      <c r="I497">
        <v>320.45</v>
      </c>
      <c r="J497">
        <v>233.71</v>
      </c>
      <c r="K497">
        <f t="shared" si="42"/>
        <v>9293.0499999999993</v>
      </c>
      <c r="L497">
        <v>0.1</v>
      </c>
      <c r="M497">
        <f t="shared" si="43"/>
        <v>929.30499999999995</v>
      </c>
      <c r="N497">
        <f t="shared" si="44"/>
        <v>8363.744999999999</v>
      </c>
      <c r="O497">
        <f t="shared" si="45"/>
        <v>6777.59</v>
      </c>
      <c r="P497">
        <f t="shared" si="46"/>
        <v>1586.1549999999988</v>
      </c>
      <c r="Q497">
        <f t="shared" si="47"/>
        <v>18.964650404812666</v>
      </c>
      <c r="R497" t="s">
        <v>49</v>
      </c>
      <c r="S497" t="s">
        <v>41</v>
      </c>
      <c r="T497">
        <v>4.8</v>
      </c>
    </row>
    <row r="498" spans="1:20">
      <c r="A498" t="s">
        <v>566</v>
      </c>
      <c r="B498" s="3">
        <v>45642</v>
      </c>
      <c r="C498" t="s">
        <v>19</v>
      </c>
      <c r="D498" t="s">
        <v>32</v>
      </c>
      <c r="E498" t="s">
        <v>68</v>
      </c>
      <c r="F498" t="s">
        <v>24</v>
      </c>
      <c r="G498" t="s">
        <v>40</v>
      </c>
      <c r="H498">
        <v>47</v>
      </c>
      <c r="I498">
        <v>259.17</v>
      </c>
      <c r="J498">
        <v>151.16999999999999</v>
      </c>
      <c r="K498">
        <f t="shared" si="42"/>
        <v>12180.990000000002</v>
      </c>
      <c r="L498">
        <v>0.1</v>
      </c>
      <c r="M498">
        <f t="shared" si="43"/>
        <v>1218.0990000000002</v>
      </c>
      <c r="N498">
        <f t="shared" si="44"/>
        <v>10962.891000000001</v>
      </c>
      <c r="O498">
        <f t="shared" si="45"/>
        <v>7104.99</v>
      </c>
      <c r="P498">
        <f t="shared" si="46"/>
        <v>3857.9010000000017</v>
      </c>
      <c r="Q498">
        <f t="shared" si="47"/>
        <v>35.190544173065305</v>
      </c>
      <c r="R498" t="s">
        <v>50</v>
      </c>
      <c r="S498" t="s">
        <v>47</v>
      </c>
      <c r="T498">
        <v>3.2</v>
      </c>
    </row>
    <row r="499" spans="1:20">
      <c r="A499" t="s">
        <v>567</v>
      </c>
      <c r="B499" s="3">
        <v>45643</v>
      </c>
      <c r="C499" t="s">
        <v>19</v>
      </c>
      <c r="D499" t="s">
        <v>26</v>
      </c>
      <c r="E499" t="s">
        <v>68</v>
      </c>
      <c r="F499" t="s">
        <v>23</v>
      </c>
      <c r="G499" t="s">
        <v>37</v>
      </c>
      <c r="H499">
        <v>6</v>
      </c>
      <c r="I499">
        <v>1363.19</v>
      </c>
      <c r="J499">
        <v>1142.82</v>
      </c>
      <c r="K499">
        <f t="shared" si="42"/>
        <v>8179.14</v>
      </c>
      <c r="L499">
        <v>0.05</v>
      </c>
      <c r="M499">
        <f t="shared" si="43"/>
        <v>408.95700000000005</v>
      </c>
      <c r="N499">
        <f t="shared" si="44"/>
        <v>7770.183</v>
      </c>
      <c r="O499">
        <f t="shared" si="45"/>
        <v>6856.92</v>
      </c>
      <c r="P499">
        <f t="shared" si="46"/>
        <v>913.26299999999992</v>
      </c>
      <c r="Q499">
        <f t="shared" si="47"/>
        <v>11.753429745477035</v>
      </c>
      <c r="R499" t="s">
        <v>51</v>
      </c>
      <c r="S499" t="s">
        <v>47</v>
      </c>
      <c r="T499">
        <v>4.4000000000000004</v>
      </c>
    </row>
    <row r="500" spans="1:20">
      <c r="A500" t="s">
        <v>568</v>
      </c>
      <c r="B500" s="3">
        <v>45643</v>
      </c>
      <c r="C500" t="s">
        <v>19</v>
      </c>
      <c r="D500" t="s">
        <v>26</v>
      </c>
      <c r="E500" t="s">
        <v>68</v>
      </c>
      <c r="F500" t="s">
        <v>23</v>
      </c>
      <c r="G500" t="s">
        <v>37</v>
      </c>
      <c r="H500">
        <v>18</v>
      </c>
      <c r="I500">
        <v>563.22</v>
      </c>
      <c r="J500">
        <v>396.42</v>
      </c>
      <c r="K500">
        <f t="shared" si="42"/>
        <v>10137.960000000001</v>
      </c>
      <c r="L500">
        <v>0</v>
      </c>
      <c r="M500">
        <f t="shared" si="43"/>
        <v>0</v>
      </c>
      <c r="N500">
        <f t="shared" si="44"/>
        <v>10137.960000000001</v>
      </c>
      <c r="O500">
        <f t="shared" si="45"/>
        <v>7135.56</v>
      </c>
      <c r="P500">
        <f t="shared" si="46"/>
        <v>3002.4000000000005</v>
      </c>
      <c r="Q500">
        <f t="shared" si="47"/>
        <v>29.615425588579953</v>
      </c>
      <c r="R500" t="s">
        <v>51</v>
      </c>
      <c r="S500" t="s">
        <v>41</v>
      </c>
      <c r="T500">
        <v>3.9</v>
      </c>
    </row>
    <row r="501" spans="1:20">
      <c r="A501" t="s">
        <v>569</v>
      </c>
      <c r="B501" s="3">
        <v>45643</v>
      </c>
      <c r="C501" t="s">
        <v>19</v>
      </c>
      <c r="D501" t="s">
        <v>28</v>
      </c>
      <c r="E501" t="s">
        <v>68</v>
      </c>
      <c r="F501" t="s">
        <v>24</v>
      </c>
      <c r="G501" t="s">
        <v>29</v>
      </c>
      <c r="H501">
        <v>10</v>
      </c>
      <c r="I501">
        <v>520.27</v>
      </c>
      <c r="J501">
        <v>261.57</v>
      </c>
      <c r="K501">
        <f t="shared" si="42"/>
        <v>5202.7</v>
      </c>
      <c r="L501">
        <v>0.2</v>
      </c>
      <c r="M501">
        <f t="shared" si="43"/>
        <v>1040.54</v>
      </c>
      <c r="N501">
        <f t="shared" si="44"/>
        <v>4162.16</v>
      </c>
      <c r="O501">
        <f t="shared" si="45"/>
        <v>2615.6999999999998</v>
      </c>
      <c r="P501">
        <f t="shared" si="46"/>
        <v>1546.46</v>
      </c>
      <c r="Q501">
        <f t="shared" si="47"/>
        <v>37.155227093624468</v>
      </c>
      <c r="R501" t="s">
        <v>49</v>
      </c>
      <c r="S501" t="s">
        <v>45</v>
      </c>
      <c r="T501">
        <v>3.2</v>
      </c>
    </row>
    <row r="502" spans="1:20">
      <c r="A502" t="s">
        <v>570</v>
      </c>
      <c r="B502" s="3">
        <v>45643</v>
      </c>
      <c r="C502" t="s">
        <v>19</v>
      </c>
      <c r="D502" t="s">
        <v>30</v>
      </c>
      <c r="E502" t="s">
        <v>68</v>
      </c>
      <c r="F502" t="s">
        <v>20</v>
      </c>
      <c r="G502" t="s">
        <v>36</v>
      </c>
      <c r="H502">
        <v>28</v>
      </c>
      <c r="I502">
        <v>1203.78</v>
      </c>
      <c r="J502">
        <v>512.16</v>
      </c>
      <c r="K502">
        <f t="shared" si="42"/>
        <v>33705.839999999997</v>
      </c>
      <c r="L502">
        <v>0.05</v>
      </c>
      <c r="M502">
        <f t="shared" si="43"/>
        <v>1685.2919999999999</v>
      </c>
      <c r="N502">
        <f t="shared" si="44"/>
        <v>32020.547999999995</v>
      </c>
      <c r="O502">
        <f t="shared" si="45"/>
        <v>14340.48</v>
      </c>
      <c r="P502">
        <f t="shared" si="46"/>
        <v>17680.067999999996</v>
      </c>
      <c r="Q502">
        <f t="shared" si="47"/>
        <v>55.214757723696664</v>
      </c>
      <c r="R502" t="s">
        <v>50</v>
      </c>
      <c r="S502" t="s">
        <v>41</v>
      </c>
      <c r="T502">
        <v>4.5</v>
      </c>
    </row>
    <row r="503" spans="1:20">
      <c r="A503" t="s">
        <v>571</v>
      </c>
      <c r="B503" s="3">
        <v>45644</v>
      </c>
      <c r="C503" t="s">
        <v>19</v>
      </c>
      <c r="D503" t="s">
        <v>28</v>
      </c>
      <c r="E503" t="s">
        <v>68</v>
      </c>
      <c r="F503" t="s">
        <v>23</v>
      </c>
      <c r="G503" t="s">
        <v>37</v>
      </c>
      <c r="H503">
        <v>6</v>
      </c>
      <c r="I503">
        <v>609.6</v>
      </c>
      <c r="J503">
        <v>469.14</v>
      </c>
      <c r="K503">
        <f t="shared" si="42"/>
        <v>3657.6000000000004</v>
      </c>
      <c r="L503">
        <v>0.05</v>
      </c>
      <c r="M503">
        <f t="shared" si="43"/>
        <v>182.88000000000002</v>
      </c>
      <c r="N503">
        <f t="shared" si="44"/>
        <v>3474.7200000000003</v>
      </c>
      <c r="O503">
        <f t="shared" si="45"/>
        <v>2814.84</v>
      </c>
      <c r="P503">
        <f t="shared" si="46"/>
        <v>659.88000000000011</v>
      </c>
      <c r="Q503">
        <f t="shared" si="47"/>
        <v>18.990882718607544</v>
      </c>
      <c r="R503" t="s">
        <v>50</v>
      </c>
      <c r="S503" t="s">
        <v>45</v>
      </c>
      <c r="T503">
        <v>4.4000000000000004</v>
      </c>
    </row>
    <row r="504" spans="1:20">
      <c r="A504" t="s">
        <v>572</v>
      </c>
      <c r="B504" s="3">
        <v>45645</v>
      </c>
      <c r="C504" t="s">
        <v>19</v>
      </c>
      <c r="D504" t="s">
        <v>30</v>
      </c>
      <c r="E504" t="s">
        <v>68</v>
      </c>
      <c r="F504" t="s">
        <v>20</v>
      </c>
      <c r="G504" t="s">
        <v>34</v>
      </c>
      <c r="H504">
        <v>16</v>
      </c>
      <c r="I504">
        <v>14.55</v>
      </c>
      <c r="J504">
        <v>7.6</v>
      </c>
      <c r="K504">
        <f t="shared" si="42"/>
        <v>232.8</v>
      </c>
      <c r="L504">
        <v>0</v>
      </c>
      <c r="M504">
        <f t="shared" si="43"/>
        <v>0</v>
      </c>
      <c r="N504">
        <f t="shared" si="44"/>
        <v>232.8</v>
      </c>
      <c r="O504">
        <f t="shared" si="45"/>
        <v>121.6</v>
      </c>
      <c r="P504">
        <f t="shared" si="46"/>
        <v>111.20000000000002</v>
      </c>
      <c r="Q504">
        <f t="shared" si="47"/>
        <v>47.766323024054984</v>
      </c>
      <c r="R504" t="s">
        <v>50</v>
      </c>
      <c r="S504" t="s">
        <v>47</v>
      </c>
      <c r="T504">
        <v>3.7</v>
      </c>
    </row>
    <row r="505" spans="1:20">
      <c r="A505" t="s">
        <v>573</v>
      </c>
      <c r="B505" s="3">
        <v>45646</v>
      </c>
      <c r="C505" t="s">
        <v>19</v>
      </c>
      <c r="D505" t="s">
        <v>32</v>
      </c>
      <c r="E505" t="s">
        <v>68</v>
      </c>
      <c r="F505" t="s">
        <v>20</v>
      </c>
      <c r="G505" t="s">
        <v>36</v>
      </c>
      <c r="H505">
        <v>45</v>
      </c>
      <c r="I505">
        <v>1147.71</v>
      </c>
      <c r="J505">
        <v>455.13</v>
      </c>
      <c r="K505">
        <f t="shared" si="42"/>
        <v>51646.950000000004</v>
      </c>
      <c r="L505">
        <v>0</v>
      </c>
      <c r="M505">
        <f t="shared" si="43"/>
        <v>0</v>
      </c>
      <c r="N505">
        <f t="shared" si="44"/>
        <v>51646.950000000004</v>
      </c>
      <c r="O505">
        <f t="shared" si="45"/>
        <v>20480.849999999999</v>
      </c>
      <c r="P505">
        <f t="shared" si="46"/>
        <v>31166.100000000006</v>
      </c>
      <c r="Q505">
        <f t="shared" si="47"/>
        <v>60.344512115429858</v>
      </c>
      <c r="R505" t="s">
        <v>51</v>
      </c>
      <c r="S505" t="s">
        <v>41</v>
      </c>
      <c r="T505">
        <v>4.5</v>
      </c>
    </row>
    <row r="506" spans="1:20">
      <c r="A506" t="s">
        <v>574</v>
      </c>
      <c r="B506" s="3">
        <v>45647</v>
      </c>
      <c r="C506" t="s">
        <v>19</v>
      </c>
      <c r="D506" t="s">
        <v>28</v>
      </c>
      <c r="E506" t="s">
        <v>68</v>
      </c>
      <c r="F506" t="s">
        <v>24</v>
      </c>
      <c r="G506" t="s">
        <v>29</v>
      </c>
      <c r="H506">
        <v>29</v>
      </c>
      <c r="I506">
        <v>701.75</v>
      </c>
      <c r="J506">
        <v>395.12</v>
      </c>
      <c r="K506">
        <f t="shared" si="42"/>
        <v>20350.75</v>
      </c>
      <c r="L506">
        <v>0</v>
      </c>
      <c r="M506">
        <f t="shared" si="43"/>
        <v>0</v>
      </c>
      <c r="N506">
        <f t="shared" si="44"/>
        <v>20350.75</v>
      </c>
      <c r="O506">
        <f t="shared" si="45"/>
        <v>11458.48</v>
      </c>
      <c r="P506">
        <f t="shared" si="46"/>
        <v>8892.27</v>
      </c>
      <c r="Q506">
        <f t="shared" si="47"/>
        <v>43.695048094050591</v>
      </c>
      <c r="R506" t="s">
        <v>49</v>
      </c>
      <c r="S506" t="s">
        <v>47</v>
      </c>
      <c r="T506">
        <v>3.3</v>
      </c>
    </row>
    <row r="507" spans="1:20">
      <c r="A507" t="s">
        <v>575</v>
      </c>
      <c r="B507" s="3">
        <v>45648</v>
      </c>
      <c r="C507" t="s">
        <v>19</v>
      </c>
      <c r="D507" t="s">
        <v>26</v>
      </c>
      <c r="E507" t="s">
        <v>68</v>
      </c>
      <c r="F507" t="s">
        <v>20</v>
      </c>
      <c r="G507" t="s">
        <v>34</v>
      </c>
      <c r="H507">
        <v>3</v>
      </c>
      <c r="I507">
        <v>86</v>
      </c>
      <c r="J507">
        <v>48.1</v>
      </c>
      <c r="K507">
        <f t="shared" si="42"/>
        <v>258</v>
      </c>
      <c r="L507">
        <v>0</v>
      </c>
      <c r="M507">
        <f t="shared" si="43"/>
        <v>0</v>
      </c>
      <c r="N507">
        <f t="shared" si="44"/>
        <v>258</v>
      </c>
      <c r="O507">
        <f t="shared" si="45"/>
        <v>144.30000000000001</v>
      </c>
      <c r="P507">
        <f t="shared" si="46"/>
        <v>113.69999999999999</v>
      </c>
      <c r="Q507">
        <f t="shared" si="47"/>
        <v>44.069767441860463</v>
      </c>
      <c r="R507" t="s">
        <v>49</v>
      </c>
      <c r="S507" t="s">
        <v>43</v>
      </c>
      <c r="T507">
        <v>3</v>
      </c>
    </row>
    <row r="508" spans="1:20">
      <c r="A508" t="s">
        <v>576</v>
      </c>
      <c r="B508" s="3">
        <v>45648</v>
      </c>
      <c r="C508" t="s">
        <v>19</v>
      </c>
      <c r="D508" t="s">
        <v>28</v>
      </c>
      <c r="E508" t="s">
        <v>70</v>
      </c>
      <c r="F508" t="s">
        <v>23</v>
      </c>
      <c r="G508" t="s">
        <v>44</v>
      </c>
      <c r="H508">
        <v>26</v>
      </c>
      <c r="I508">
        <v>656.42</v>
      </c>
      <c r="J508">
        <v>468.26</v>
      </c>
      <c r="K508">
        <f t="shared" si="42"/>
        <v>17066.919999999998</v>
      </c>
      <c r="L508">
        <v>0.05</v>
      </c>
      <c r="M508">
        <f t="shared" si="43"/>
        <v>853.346</v>
      </c>
      <c r="N508">
        <f t="shared" si="44"/>
        <v>16213.573999999999</v>
      </c>
      <c r="O508">
        <f t="shared" si="45"/>
        <v>12174.76</v>
      </c>
      <c r="P508">
        <f t="shared" si="46"/>
        <v>4038.8139999999985</v>
      </c>
      <c r="Q508">
        <f t="shared" si="47"/>
        <v>24.910078431812742</v>
      </c>
      <c r="R508" t="s">
        <v>51</v>
      </c>
      <c r="S508" t="s">
        <v>47</v>
      </c>
      <c r="T508">
        <v>4.8</v>
      </c>
    </row>
    <row r="509" spans="1:20">
      <c r="A509" t="s">
        <v>577</v>
      </c>
      <c r="B509" s="3">
        <v>45648</v>
      </c>
      <c r="C509" t="s">
        <v>19</v>
      </c>
      <c r="D509" t="s">
        <v>28</v>
      </c>
      <c r="E509" t="s">
        <v>68</v>
      </c>
      <c r="F509" t="s">
        <v>20</v>
      </c>
      <c r="G509" t="s">
        <v>31</v>
      </c>
      <c r="H509">
        <v>45</v>
      </c>
      <c r="I509">
        <v>34.81</v>
      </c>
      <c r="J509">
        <v>13.73</v>
      </c>
      <c r="K509">
        <f t="shared" si="42"/>
        <v>1566.45</v>
      </c>
      <c r="L509">
        <v>0.05</v>
      </c>
      <c r="M509">
        <f t="shared" si="43"/>
        <v>78.322500000000005</v>
      </c>
      <c r="N509">
        <f t="shared" si="44"/>
        <v>1488.1275000000001</v>
      </c>
      <c r="O509">
        <f t="shared" si="45"/>
        <v>617.85</v>
      </c>
      <c r="P509">
        <f t="shared" si="46"/>
        <v>870.27750000000003</v>
      </c>
      <c r="Q509">
        <f t="shared" si="47"/>
        <v>58.481380123678917</v>
      </c>
      <c r="R509" t="s">
        <v>49</v>
      </c>
      <c r="S509" t="s">
        <v>43</v>
      </c>
      <c r="T509">
        <v>4</v>
      </c>
    </row>
    <row r="510" spans="1:20">
      <c r="A510" t="s">
        <v>578</v>
      </c>
      <c r="B510" s="3">
        <v>45648</v>
      </c>
      <c r="C510" t="s">
        <v>19</v>
      </c>
      <c r="D510" t="s">
        <v>30</v>
      </c>
      <c r="E510" t="s">
        <v>68</v>
      </c>
      <c r="F510" t="s">
        <v>23</v>
      </c>
      <c r="G510" t="s">
        <v>37</v>
      </c>
      <c r="H510">
        <v>12</v>
      </c>
      <c r="I510">
        <v>959.38</v>
      </c>
      <c r="J510">
        <v>678.79</v>
      </c>
      <c r="K510">
        <f t="shared" si="42"/>
        <v>11512.56</v>
      </c>
      <c r="L510">
        <v>0.1</v>
      </c>
      <c r="M510">
        <f t="shared" si="43"/>
        <v>1151.2560000000001</v>
      </c>
      <c r="N510">
        <f t="shared" si="44"/>
        <v>10361.304</v>
      </c>
      <c r="O510">
        <f t="shared" si="45"/>
        <v>8145.48</v>
      </c>
      <c r="P510">
        <f t="shared" si="46"/>
        <v>2215.8240000000005</v>
      </c>
      <c r="Q510">
        <f t="shared" si="47"/>
        <v>21.385570773717291</v>
      </c>
      <c r="R510" t="s">
        <v>50</v>
      </c>
      <c r="S510" t="s">
        <v>45</v>
      </c>
      <c r="T510">
        <v>4.2</v>
      </c>
    </row>
    <row r="511" spans="1:20">
      <c r="A511" t="s">
        <v>579</v>
      </c>
      <c r="B511" s="3">
        <v>45648</v>
      </c>
      <c r="C511" t="s">
        <v>19</v>
      </c>
      <c r="D511" t="s">
        <v>30</v>
      </c>
      <c r="E511" t="s">
        <v>86</v>
      </c>
      <c r="F511" t="s">
        <v>24</v>
      </c>
      <c r="G511" t="s">
        <v>40</v>
      </c>
      <c r="H511">
        <v>19</v>
      </c>
      <c r="I511">
        <v>450.6</v>
      </c>
      <c r="J511">
        <v>250.02</v>
      </c>
      <c r="K511">
        <f t="shared" si="42"/>
        <v>8561.4</v>
      </c>
      <c r="L511">
        <v>0.15</v>
      </c>
      <c r="M511">
        <f t="shared" si="43"/>
        <v>1284.2099999999998</v>
      </c>
      <c r="N511">
        <f t="shared" si="44"/>
        <v>7277.19</v>
      </c>
      <c r="O511">
        <f t="shared" si="45"/>
        <v>4750.38</v>
      </c>
      <c r="P511">
        <f t="shared" si="46"/>
        <v>2526.8099999999995</v>
      </c>
      <c r="Q511">
        <f t="shared" si="47"/>
        <v>34.72233100963421</v>
      </c>
      <c r="R511" t="s">
        <v>51</v>
      </c>
      <c r="S511" t="s">
        <v>41</v>
      </c>
      <c r="T511">
        <v>4.0999999999999996</v>
      </c>
    </row>
    <row r="512" spans="1:20">
      <c r="A512" t="s">
        <v>580</v>
      </c>
      <c r="B512" s="3">
        <v>45649</v>
      </c>
      <c r="C512" t="s">
        <v>19</v>
      </c>
      <c r="D512" t="s">
        <v>32</v>
      </c>
      <c r="E512" t="s">
        <v>68</v>
      </c>
      <c r="F512" t="s">
        <v>24</v>
      </c>
      <c r="G512" t="s">
        <v>46</v>
      </c>
      <c r="H512">
        <v>16</v>
      </c>
      <c r="I512">
        <v>1087.8800000000001</v>
      </c>
      <c r="J512">
        <v>628.04999999999995</v>
      </c>
      <c r="K512">
        <f t="shared" si="42"/>
        <v>17406.080000000002</v>
      </c>
      <c r="L512">
        <v>0.15</v>
      </c>
      <c r="M512">
        <f t="shared" si="43"/>
        <v>2610.9120000000003</v>
      </c>
      <c r="N512">
        <f t="shared" si="44"/>
        <v>14795.168000000001</v>
      </c>
      <c r="O512">
        <f t="shared" si="45"/>
        <v>10048.799999999999</v>
      </c>
      <c r="P512">
        <f t="shared" si="46"/>
        <v>4746.3680000000022</v>
      </c>
      <c r="Q512">
        <f t="shared" si="47"/>
        <v>32.080527912896976</v>
      </c>
      <c r="R512" t="s">
        <v>49</v>
      </c>
      <c r="S512" t="s">
        <v>41</v>
      </c>
      <c r="T512">
        <v>3.7</v>
      </c>
    </row>
    <row r="513" spans="1:20">
      <c r="A513" t="s">
        <v>581</v>
      </c>
      <c r="B513" s="3">
        <v>45649</v>
      </c>
      <c r="C513" t="s">
        <v>19</v>
      </c>
      <c r="D513" t="s">
        <v>28</v>
      </c>
      <c r="E513" t="s">
        <v>68</v>
      </c>
      <c r="F513" t="s">
        <v>22</v>
      </c>
      <c r="G513" t="s">
        <v>42</v>
      </c>
      <c r="H513">
        <v>26</v>
      </c>
      <c r="I513">
        <v>1137.81</v>
      </c>
      <c r="J513">
        <v>815.07</v>
      </c>
      <c r="K513">
        <f t="shared" si="42"/>
        <v>29583.059999999998</v>
      </c>
      <c r="L513">
        <v>0.1</v>
      </c>
      <c r="M513">
        <f t="shared" si="43"/>
        <v>2958.306</v>
      </c>
      <c r="N513">
        <f t="shared" si="44"/>
        <v>26624.753999999997</v>
      </c>
      <c r="O513">
        <f t="shared" si="45"/>
        <v>21191.82</v>
      </c>
      <c r="P513">
        <f t="shared" si="46"/>
        <v>5432.9339999999975</v>
      </c>
      <c r="Q513">
        <f t="shared" si="47"/>
        <v>20.405574451504783</v>
      </c>
      <c r="R513" t="s">
        <v>51</v>
      </c>
      <c r="S513" t="s">
        <v>41</v>
      </c>
      <c r="T513">
        <v>3.4</v>
      </c>
    </row>
    <row r="514" spans="1:20">
      <c r="A514" t="s">
        <v>582</v>
      </c>
      <c r="B514" s="3">
        <v>45650</v>
      </c>
      <c r="C514" t="s">
        <v>19</v>
      </c>
      <c r="D514" t="s">
        <v>28</v>
      </c>
      <c r="E514" t="s">
        <v>68</v>
      </c>
      <c r="F514" t="s">
        <v>23</v>
      </c>
      <c r="G514" t="s">
        <v>44</v>
      </c>
      <c r="H514">
        <v>47</v>
      </c>
      <c r="I514">
        <v>531.74</v>
      </c>
      <c r="J514">
        <v>377.58</v>
      </c>
      <c r="K514">
        <f t="shared" ref="K514:K577" si="48">H514*I514</f>
        <v>24991.78</v>
      </c>
      <c r="L514">
        <v>0.25</v>
      </c>
      <c r="M514">
        <f t="shared" ref="M514:M577" si="49">K514*L514</f>
        <v>6247.9449999999997</v>
      </c>
      <c r="N514">
        <f t="shared" ref="N514:N577" si="50">K514-M514</f>
        <v>18743.834999999999</v>
      </c>
      <c r="O514">
        <f t="shared" ref="O514:O577" si="51">H514*J514</f>
        <v>17746.259999999998</v>
      </c>
      <c r="P514">
        <f t="shared" ref="P514:P577" si="52">N514-O514</f>
        <v>997.57500000000073</v>
      </c>
      <c r="Q514">
        <f t="shared" ref="Q514:Q577" si="53">IFERROR(P514/N514*100,0)</f>
        <v>5.3221499228946518</v>
      </c>
      <c r="R514" t="s">
        <v>49</v>
      </c>
      <c r="S514" t="s">
        <v>47</v>
      </c>
      <c r="T514">
        <v>4.7</v>
      </c>
    </row>
    <row r="515" spans="1:20">
      <c r="A515" t="s">
        <v>583</v>
      </c>
      <c r="B515" s="3">
        <v>45650</v>
      </c>
      <c r="C515" t="s">
        <v>19</v>
      </c>
      <c r="D515" t="s">
        <v>28</v>
      </c>
      <c r="E515" t="s">
        <v>70</v>
      </c>
      <c r="F515" t="s">
        <v>23</v>
      </c>
      <c r="G515" t="s">
        <v>38</v>
      </c>
      <c r="H515">
        <v>46</v>
      </c>
      <c r="I515">
        <v>508.65</v>
      </c>
      <c r="J515">
        <v>366.27</v>
      </c>
      <c r="K515">
        <f t="shared" si="48"/>
        <v>23397.899999999998</v>
      </c>
      <c r="L515">
        <v>0</v>
      </c>
      <c r="M515">
        <f t="shared" si="49"/>
        <v>0</v>
      </c>
      <c r="N515">
        <f t="shared" si="50"/>
        <v>23397.899999999998</v>
      </c>
      <c r="O515">
        <f t="shared" si="51"/>
        <v>16848.419999999998</v>
      </c>
      <c r="P515">
        <f t="shared" si="52"/>
        <v>6549.48</v>
      </c>
      <c r="Q515">
        <f t="shared" si="53"/>
        <v>27.991742848717195</v>
      </c>
      <c r="R515" t="s">
        <v>50</v>
      </c>
      <c r="S515" t="s">
        <v>45</v>
      </c>
      <c r="T515">
        <v>4.0999999999999996</v>
      </c>
    </row>
    <row r="516" spans="1:20">
      <c r="A516" t="s">
        <v>584</v>
      </c>
      <c r="B516" s="3">
        <v>45650</v>
      </c>
      <c r="C516" t="s">
        <v>19</v>
      </c>
      <c r="D516" t="s">
        <v>30</v>
      </c>
      <c r="E516" t="s">
        <v>68</v>
      </c>
      <c r="F516" t="s">
        <v>24</v>
      </c>
      <c r="G516" t="s">
        <v>29</v>
      </c>
      <c r="H516">
        <v>30</v>
      </c>
      <c r="I516">
        <v>604.57000000000005</v>
      </c>
      <c r="J516">
        <v>417.73</v>
      </c>
      <c r="K516">
        <f t="shared" si="48"/>
        <v>18137.100000000002</v>
      </c>
      <c r="L516">
        <v>0</v>
      </c>
      <c r="M516">
        <f t="shared" si="49"/>
        <v>0</v>
      </c>
      <c r="N516">
        <f t="shared" si="50"/>
        <v>18137.100000000002</v>
      </c>
      <c r="O516">
        <f t="shared" si="51"/>
        <v>12531.900000000001</v>
      </c>
      <c r="P516">
        <f t="shared" si="52"/>
        <v>5605.2000000000007</v>
      </c>
      <c r="Q516">
        <f t="shared" si="53"/>
        <v>30.904609888019586</v>
      </c>
      <c r="R516" t="s">
        <v>50</v>
      </c>
      <c r="S516" t="s">
        <v>47</v>
      </c>
      <c r="T516">
        <v>3.4</v>
      </c>
    </row>
    <row r="517" spans="1:20">
      <c r="A517" t="s">
        <v>585</v>
      </c>
      <c r="B517" s="3">
        <v>45651</v>
      </c>
      <c r="C517" t="s">
        <v>19</v>
      </c>
      <c r="D517" t="s">
        <v>28</v>
      </c>
      <c r="E517" t="s">
        <v>68</v>
      </c>
      <c r="F517" t="s">
        <v>22</v>
      </c>
      <c r="G517" t="s">
        <v>35</v>
      </c>
      <c r="H517">
        <v>49</v>
      </c>
      <c r="I517">
        <v>101.06</v>
      </c>
      <c r="J517">
        <v>80.319999999999993</v>
      </c>
      <c r="K517">
        <f t="shared" si="48"/>
        <v>4951.9400000000005</v>
      </c>
      <c r="L517">
        <v>0</v>
      </c>
      <c r="M517">
        <f t="shared" si="49"/>
        <v>0</v>
      </c>
      <c r="N517">
        <f t="shared" si="50"/>
        <v>4951.9400000000005</v>
      </c>
      <c r="O517">
        <f t="shared" si="51"/>
        <v>3935.68</v>
      </c>
      <c r="P517">
        <f t="shared" si="52"/>
        <v>1016.2600000000007</v>
      </c>
      <c r="Q517">
        <f t="shared" si="53"/>
        <v>20.522461903819526</v>
      </c>
      <c r="R517" t="s">
        <v>51</v>
      </c>
      <c r="S517" t="s">
        <v>47</v>
      </c>
      <c r="T517">
        <v>3.3</v>
      </c>
    </row>
    <row r="518" spans="1:20">
      <c r="A518" t="s">
        <v>586</v>
      </c>
      <c r="B518" s="3">
        <v>45652</v>
      </c>
      <c r="C518" t="s">
        <v>19</v>
      </c>
      <c r="D518" t="s">
        <v>28</v>
      </c>
      <c r="E518" t="s">
        <v>68</v>
      </c>
      <c r="F518" t="s">
        <v>22</v>
      </c>
      <c r="G518" t="s">
        <v>42</v>
      </c>
      <c r="H518">
        <v>46</v>
      </c>
      <c r="I518">
        <v>1245.44</v>
      </c>
      <c r="J518">
        <v>902.58</v>
      </c>
      <c r="K518">
        <f t="shared" si="48"/>
        <v>57290.240000000005</v>
      </c>
      <c r="L518">
        <v>0.1</v>
      </c>
      <c r="M518">
        <f t="shared" si="49"/>
        <v>5729.0240000000013</v>
      </c>
      <c r="N518">
        <f t="shared" si="50"/>
        <v>51561.216</v>
      </c>
      <c r="O518">
        <f t="shared" si="51"/>
        <v>41518.68</v>
      </c>
      <c r="P518">
        <f t="shared" si="52"/>
        <v>10042.536</v>
      </c>
      <c r="Q518">
        <f t="shared" si="53"/>
        <v>19.476918465227818</v>
      </c>
      <c r="R518" t="s">
        <v>49</v>
      </c>
      <c r="S518" t="s">
        <v>41</v>
      </c>
      <c r="T518">
        <v>4</v>
      </c>
    </row>
    <row r="519" spans="1:20">
      <c r="A519" t="s">
        <v>587</v>
      </c>
      <c r="B519" s="3">
        <v>45653</v>
      </c>
      <c r="C519" t="s">
        <v>19</v>
      </c>
      <c r="D519" t="s">
        <v>28</v>
      </c>
      <c r="E519" t="s">
        <v>86</v>
      </c>
      <c r="F519" t="s">
        <v>23</v>
      </c>
      <c r="G519" t="s">
        <v>44</v>
      </c>
      <c r="H519">
        <v>1</v>
      </c>
      <c r="I519">
        <v>284.14</v>
      </c>
      <c r="J519">
        <v>206.97</v>
      </c>
      <c r="K519">
        <f t="shared" si="48"/>
        <v>284.14</v>
      </c>
      <c r="L519">
        <v>0.2</v>
      </c>
      <c r="M519">
        <f t="shared" si="49"/>
        <v>56.828000000000003</v>
      </c>
      <c r="N519">
        <f t="shared" si="50"/>
        <v>227.31199999999998</v>
      </c>
      <c r="O519">
        <f t="shared" si="51"/>
        <v>206.97</v>
      </c>
      <c r="P519">
        <f t="shared" si="52"/>
        <v>20.341999999999985</v>
      </c>
      <c r="Q519">
        <f t="shared" si="53"/>
        <v>8.9489336242697206</v>
      </c>
      <c r="R519" t="s">
        <v>49</v>
      </c>
      <c r="S519" t="s">
        <v>41</v>
      </c>
      <c r="T519">
        <v>3.9</v>
      </c>
    </row>
    <row r="520" spans="1:20">
      <c r="A520" t="s">
        <v>588</v>
      </c>
      <c r="B520" s="3">
        <v>45653</v>
      </c>
      <c r="C520" t="s">
        <v>19</v>
      </c>
      <c r="D520" t="s">
        <v>28</v>
      </c>
      <c r="E520" t="s">
        <v>68</v>
      </c>
      <c r="F520" t="s">
        <v>20</v>
      </c>
      <c r="G520" t="s">
        <v>31</v>
      </c>
      <c r="H520">
        <v>26</v>
      </c>
      <c r="I520">
        <v>1165.47</v>
      </c>
      <c r="J520">
        <v>411.62</v>
      </c>
      <c r="K520">
        <f t="shared" si="48"/>
        <v>30302.22</v>
      </c>
      <c r="L520">
        <v>0</v>
      </c>
      <c r="M520">
        <f t="shared" si="49"/>
        <v>0</v>
      </c>
      <c r="N520">
        <f t="shared" si="50"/>
        <v>30302.22</v>
      </c>
      <c r="O520">
        <f t="shared" si="51"/>
        <v>10702.12</v>
      </c>
      <c r="P520">
        <f t="shared" si="52"/>
        <v>19600.099999999999</v>
      </c>
      <c r="Q520">
        <f t="shared" si="53"/>
        <v>64.682059598273653</v>
      </c>
      <c r="R520" t="s">
        <v>50</v>
      </c>
      <c r="S520" t="s">
        <v>41</v>
      </c>
      <c r="T520">
        <v>3.8</v>
      </c>
    </row>
    <row r="521" spans="1:20">
      <c r="A521" t="s">
        <v>589</v>
      </c>
      <c r="B521" s="3">
        <v>45653</v>
      </c>
      <c r="C521" t="s">
        <v>19</v>
      </c>
      <c r="D521" t="s">
        <v>30</v>
      </c>
      <c r="E521" t="s">
        <v>68</v>
      </c>
      <c r="F521" t="s">
        <v>23</v>
      </c>
      <c r="G521" t="s">
        <v>37</v>
      </c>
      <c r="H521">
        <v>34</v>
      </c>
      <c r="I521">
        <v>1461.11</v>
      </c>
      <c r="J521">
        <v>1208.98</v>
      </c>
      <c r="K521">
        <f t="shared" si="48"/>
        <v>49677.74</v>
      </c>
      <c r="L521">
        <v>0.2</v>
      </c>
      <c r="M521">
        <f t="shared" si="49"/>
        <v>9935.5480000000007</v>
      </c>
      <c r="N521">
        <f t="shared" si="50"/>
        <v>39742.191999999995</v>
      </c>
      <c r="O521">
        <f t="shared" si="51"/>
        <v>41105.32</v>
      </c>
      <c r="P521">
        <f t="shared" si="52"/>
        <v>-1363.1280000000042</v>
      </c>
      <c r="Q521">
        <f t="shared" si="53"/>
        <v>-3.4299265626818078</v>
      </c>
      <c r="R521" t="s">
        <v>50</v>
      </c>
      <c r="S521" t="s">
        <v>41</v>
      </c>
      <c r="T521">
        <v>4.5</v>
      </c>
    </row>
    <row r="522" spans="1:20">
      <c r="A522" t="s">
        <v>590</v>
      </c>
      <c r="B522" s="3">
        <v>45655</v>
      </c>
      <c r="C522" t="s">
        <v>19</v>
      </c>
      <c r="D522" t="s">
        <v>26</v>
      </c>
      <c r="E522" t="s">
        <v>86</v>
      </c>
      <c r="F522" t="s">
        <v>20</v>
      </c>
      <c r="G522" t="s">
        <v>31</v>
      </c>
      <c r="H522">
        <v>42</v>
      </c>
      <c r="I522">
        <v>456.17</v>
      </c>
      <c r="J522">
        <v>205.95</v>
      </c>
      <c r="K522">
        <f t="shared" si="48"/>
        <v>19159.14</v>
      </c>
      <c r="L522">
        <v>0</v>
      </c>
      <c r="M522">
        <f t="shared" si="49"/>
        <v>0</v>
      </c>
      <c r="N522">
        <f t="shared" si="50"/>
        <v>19159.14</v>
      </c>
      <c r="O522">
        <f t="shared" si="51"/>
        <v>8649.9</v>
      </c>
      <c r="P522">
        <f t="shared" si="52"/>
        <v>10509.24</v>
      </c>
      <c r="Q522">
        <f t="shared" si="53"/>
        <v>54.852357673674291</v>
      </c>
      <c r="R522" t="s">
        <v>50</v>
      </c>
      <c r="S522" t="s">
        <v>41</v>
      </c>
      <c r="T522">
        <v>4.2</v>
      </c>
    </row>
    <row r="523" spans="1:20">
      <c r="A523" t="s">
        <v>591</v>
      </c>
      <c r="B523" s="3">
        <v>45656</v>
      </c>
      <c r="C523" t="s">
        <v>19</v>
      </c>
      <c r="D523" t="s">
        <v>32</v>
      </c>
      <c r="E523" t="s">
        <v>68</v>
      </c>
      <c r="F523" t="s">
        <v>23</v>
      </c>
      <c r="G523" t="s">
        <v>44</v>
      </c>
      <c r="H523">
        <v>11</v>
      </c>
      <c r="I523">
        <v>474.51</v>
      </c>
      <c r="J523">
        <v>376.22</v>
      </c>
      <c r="K523">
        <f t="shared" si="48"/>
        <v>5219.6099999999997</v>
      </c>
      <c r="L523">
        <v>0.2</v>
      </c>
      <c r="M523">
        <f t="shared" si="49"/>
        <v>1043.922</v>
      </c>
      <c r="N523">
        <f t="shared" si="50"/>
        <v>4175.6880000000001</v>
      </c>
      <c r="O523">
        <f t="shared" si="51"/>
        <v>4138.42</v>
      </c>
      <c r="P523">
        <f t="shared" si="52"/>
        <v>37.268000000000029</v>
      </c>
      <c r="Q523">
        <f t="shared" si="53"/>
        <v>0.89249963119850018</v>
      </c>
      <c r="R523" t="s">
        <v>49</v>
      </c>
      <c r="S523" t="s">
        <v>43</v>
      </c>
      <c r="T523">
        <v>4.2</v>
      </c>
    </row>
    <row r="524" spans="1:20">
      <c r="A524" t="s">
        <v>592</v>
      </c>
      <c r="B524" s="3">
        <v>45656</v>
      </c>
      <c r="C524" t="s">
        <v>19</v>
      </c>
      <c r="D524" t="s">
        <v>26</v>
      </c>
      <c r="E524" t="s">
        <v>86</v>
      </c>
      <c r="F524" t="s">
        <v>24</v>
      </c>
      <c r="G524" t="s">
        <v>29</v>
      </c>
      <c r="H524">
        <v>42</v>
      </c>
      <c r="I524">
        <v>1148.68</v>
      </c>
      <c r="J524">
        <v>581.25</v>
      </c>
      <c r="K524">
        <f t="shared" si="48"/>
        <v>48244.560000000005</v>
      </c>
      <c r="L524">
        <v>0</v>
      </c>
      <c r="M524">
        <f t="shared" si="49"/>
        <v>0</v>
      </c>
      <c r="N524">
        <f t="shared" si="50"/>
        <v>48244.560000000005</v>
      </c>
      <c r="O524">
        <f t="shared" si="51"/>
        <v>24412.5</v>
      </c>
      <c r="P524">
        <f t="shared" si="52"/>
        <v>23832.060000000005</v>
      </c>
      <c r="Q524">
        <f t="shared" si="53"/>
        <v>49.398439948462588</v>
      </c>
      <c r="R524" t="s">
        <v>49</v>
      </c>
      <c r="S524" t="s">
        <v>41</v>
      </c>
      <c r="T524">
        <v>4.9000000000000004</v>
      </c>
    </row>
    <row r="525" spans="1:20">
      <c r="A525" t="s">
        <v>593</v>
      </c>
      <c r="B525" s="3">
        <v>45657</v>
      </c>
      <c r="C525" t="s">
        <v>19</v>
      </c>
      <c r="D525" t="s">
        <v>26</v>
      </c>
      <c r="E525" t="s">
        <v>68</v>
      </c>
      <c r="F525" t="s">
        <v>20</v>
      </c>
      <c r="G525" t="s">
        <v>31</v>
      </c>
      <c r="H525">
        <v>17</v>
      </c>
      <c r="I525">
        <v>912.04</v>
      </c>
      <c r="J525">
        <v>355.21</v>
      </c>
      <c r="K525">
        <f t="shared" si="48"/>
        <v>15504.68</v>
      </c>
      <c r="L525">
        <v>0</v>
      </c>
      <c r="M525">
        <f t="shared" si="49"/>
        <v>0</v>
      </c>
      <c r="N525">
        <f t="shared" si="50"/>
        <v>15504.68</v>
      </c>
      <c r="O525">
        <f t="shared" si="51"/>
        <v>6038.57</v>
      </c>
      <c r="P525">
        <f t="shared" si="52"/>
        <v>9466.11</v>
      </c>
      <c r="Q525">
        <f t="shared" si="53"/>
        <v>61.053243278803556</v>
      </c>
      <c r="R525" t="s">
        <v>49</v>
      </c>
      <c r="S525" t="s">
        <v>41</v>
      </c>
      <c r="T525">
        <v>4.2</v>
      </c>
    </row>
    <row r="526" spans="1:20">
      <c r="A526" t="s">
        <v>594</v>
      </c>
      <c r="B526" s="3">
        <v>45658</v>
      </c>
      <c r="C526" t="s">
        <v>21</v>
      </c>
      <c r="D526" t="s">
        <v>30</v>
      </c>
      <c r="E526" t="s">
        <v>70</v>
      </c>
      <c r="F526" t="s">
        <v>23</v>
      </c>
      <c r="G526" t="s">
        <v>38</v>
      </c>
      <c r="H526">
        <v>26</v>
      </c>
      <c r="I526">
        <v>178.18</v>
      </c>
      <c r="J526">
        <v>129.05000000000001</v>
      </c>
      <c r="K526">
        <f t="shared" si="48"/>
        <v>4632.68</v>
      </c>
      <c r="L526">
        <v>0.05</v>
      </c>
      <c r="M526">
        <f t="shared" si="49"/>
        <v>231.63400000000001</v>
      </c>
      <c r="N526">
        <f t="shared" si="50"/>
        <v>4401.0460000000003</v>
      </c>
      <c r="O526">
        <f t="shared" si="51"/>
        <v>3355.3</v>
      </c>
      <c r="P526">
        <f t="shared" si="52"/>
        <v>1045.7460000000001</v>
      </c>
      <c r="Q526">
        <f t="shared" si="53"/>
        <v>23.761305835021947</v>
      </c>
      <c r="R526" t="s">
        <v>50</v>
      </c>
      <c r="S526" t="s">
        <v>41</v>
      </c>
      <c r="T526">
        <v>4.5</v>
      </c>
    </row>
    <row r="527" spans="1:20">
      <c r="A527" t="s">
        <v>595</v>
      </c>
      <c r="B527" s="3">
        <v>45659</v>
      </c>
      <c r="C527" t="s">
        <v>21</v>
      </c>
      <c r="D527" t="s">
        <v>28</v>
      </c>
      <c r="E527" t="s">
        <v>68</v>
      </c>
      <c r="F527" t="s">
        <v>20</v>
      </c>
      <c r="G527" t="s">
        <v>34</v>
      </c>
      <c r="H527">
        <v>45</v>
      </c>
      <c r="I527">
        <v>1297.22</v>
      </c>
      <c r="J527">
        <v>626.33000000000004</v>
      </c>
      <c r="K527">
        <f t="shared" si="48"/>
        <v>58374.9</v>
      </c>
      <c r="L527">
        <v>0</v>
      </c>
      <c r="M527">
        <f t="shared" si="49"/>
        <v>0</v>
      </c>
      <c r="N527">
        <f t="shared" si="50"/>
        <v>58374.9</v>
      </c>
      <c r="O527">
        <f t="shared" si="51"/>
        <v>28184.850000000002</v>
      </c>
      <c r="P527">
        <f t="shared" si="52"/>
        <v>30190.05</v>
      </c>
      <c r="Q527">
        <f t="shared" si="53"/>
        <v>51.717519002173873</v>
      </c>
      <c r="R527" t="s">
        <v>49</v>
      </c>
      <c r="S527" t="s">
        <v>41</v>
      </c>
      <c r="T527">
        <v>4.9000000000000004</v>
      </c>
    </row>
    <row r="528" spans="1:20">
      <c r="A528" t="s">
        <v>596</v>
      </c>
      <c r="B528" s="3">
        <v>45660</v>
      </c>
      <c r="C528" t="s">
        <v>21</v>
      </c>
      <c r="D528" t="s">
        <v>26</v>
      </c>
      <c r="E528" t="s">
        <v>70</v>
      </c>
      <c r="F528" t="s">
        <v>22</v>
      </c>
      <c r="G528" t="s">
        <v>35</v>
      </c>
      <c r="H528">
        <v>27</v>
      </c>
      <c r="I528">
        <v>255.68</v>
      </c>
      <c r="J528">
        <v>183.33</v>
      </c>
      <c r="K528">
        <f t="shared" si="48"/>
        <v>6903.3600000000006</v>
      </c>
      <c r="L528">
        <v>0</v>
      </c>
      <c r="M528">
        <f t="shared" si="49"/>
        <v>0</v>
      </c>
      <c r="N528">
        <f t="shared" si="50"/>
        <v>6903.3600000000006</v>
      </c>
      <c r="O528">
        <f t="shared" si="51"/>
        <v>4949.9100000000008</v>
      </c>
      <c r="P528">
        <f t="shared" si="52"/>
        <v>1953.4499999999998</v>
      </c>
      <c r="Q528">
        <f t="shared" si="53"/>
        <v>28.297090112640795</v>
      </c>
      <c r="R528" t="s">
        <v>49</v>
      </c>
      <c r="S528" t="s">
        <v>47</v>
      </c>
      <c r="T528">
        <v>3.1</v>
      </c>
    </row>
    <row r="529" spans="1:20">
      <c r="A529" t="s">
        <v>597</v>
      </c>
      <c r="B529" s="3">
        <v>45661</v>
      </c>
      <c r="C529" t="s">
        <v>21</v>
      </c>
      <c r="D529" t="s">
        <v>26</v>
      </c>
      <c r="E529" t="s">
        <v>86</v>
      </c>
      <c r="F529" t="s">
        <v>23</v>
      </c>
      <c r="G529" t="s">
        <v>44</v>
      </c>
      <c r="H529">
        <v>44</v>
      </c>
      <c r="I529">
        <v>1140.0899999999999</v>
      </c>
      <c r="J529">
        <v>922.32</v>
      </c>
      <c r="K529">
        <f t="shared" si="48"/>
        <v>50163.96</v>
      </c>
      <c r="L529">
        <v>0</v>
      </c>
      <c r="M529">
        <f t="shared" si="49"/>
        <v>0</v>
      </c>
      <c r="N529">
        <f t="shared" si="50"/>
        <v>50163.96</v>
      </c>
      <c r="O529">
        <f t="shared" si="51"/>
        <v>40582.080000000002</v>
      </c>
      <c r="P529">
        <f t="shared" si="52"/>
        <v>9581.8799999999974</v>
      </c>
      <c r="Q529">
        <f t="shared" si="53"/>
        <v>19.101123595505612</v>
      </c>
      <c r="R529" t="s">
        <v>51</v>
      </c>
      <c r="S529" t="s">
        <v>45</v>
      </c>
      <c r="T529">
        <v>4.0999999999999996</v>
      </c>
    </row>
    <row r="530" spans="1:20">
      <c r="A530" t="s">
        <v>598</v>
      </c>
      <c r="B530" s="3">
        <v>45662</v>
      </c>
      <c r="C530" t="s">
        <v>21</v>
      </c>
      <c r="D530" t="s">
        <v>26</v>
      </c>
      <c r="E530" t="s">
        <v>68</v>
      </c>
      <c r="F530" t="s">
        <v>23</v>
      </c>
      <c r="G530" t="s">
        <v>44</v>
      </c>
      <c r="H530">
        <v>31</v>
      </c>
      <c r="I530">
        <v>713.76</v>
      </c>
      <c r="J530">
        <v>600.66</v>
      </c>
      <c r="K530">
        <f t="shared" si="48"/>
        <v>22126.560000000001</v>
      </c>
      <c r="L530">
        <v>0.15</v>
      </c>
      <c r="M530">
        <f t="shared" si="49"/>
        <v>3318.9839999999999</v>
      </c>
      <c r="N530">
        <f t="shared" si="50"/>
        <v>18807.576000000001</v>
      </c>
      <c r="O530">
        <f t="shared" si="51"/>
        <v>18620.46</v>
      </c>
      <c r="P530">
        <f t="shared" si="52"/>
        <v>187.1160000000018</v>
      </c>
      <c r="Q530">
        <f t="shared" si="53"/>
        <v>0.99489695003759004</v>
      </c>
      <c r="R530" t="s">
        <v>49</v>
      </c>
      <c r="S530" t="s">
        <v>47</v>
      </c>
      <c r="T530">
        <v>3.6</v>
      </c>
    </row>
    <row r="531" spans="1:20">
      <c r="A531" t="s">
        <v>599</v>
      </c>
      <c r="B531" s="3">
        <v>45663</v>
      </c>
      <c r="C531" t="s">
        <v>21</v>
      </c>
      <c r="D531" t="s">
        <v>28</v>
      </c>
      <c r="E531" t="s">
        <v>68</v>
      </c>
      <c r="F531" t="s">
        <v>23</v>
      </c>
      <c r="G531" t="s">
        <v>37</v>
      </c>
      <c r="H531">
        <v>6</v>
      </c>
      <c r="I531">
        <v>1095.1099999999999</v>
      </c>
      <c r="J531">
        <v>788.8</v>
      </c>
      <c r="K531">
        <f t="shared" si="48"/>
        <v>6570.66</v>
      </c>
      <c r="L531">
        <v>0.05</v>
      </c>
      <c r="M531">
        <f t="shared" si="49"/>
        <v>328.53300000000002</v>
      </c>
      <c r="N531">
        <f t="shared" si="50"/>
        <v>6242.1269999999995</v>
      </c>
      <c r="O531">
        <f t="shared" si="51"/>
        <v>4732.7999999999993</v>
      </c>
      <c r="P531">
        <f t="shared" si="52"/>
        <v>1509.3270000000002</v>
      </c>
      <c r="Q531">
        <f t="shared" si="53"/>
        <v>24.179690672746652</v>
      </c>
      <c r="R531" t="s">
        <v>51</v>
      </c>
      <c r="S531" t="s">
        <v>41</v>
      </c>
      <c r="T531">
        <v>3.8</v>
      </c>
    </row>
    <row r="532" spans="1:20">
      <c r="A532" t="s">
        <v>600</v>
      </c>
      <c r="B532" s="3">
        <v>45664</v>
      </c>
      <c r="C532" t="s">
        <v>21</v>
      </c>
      <c r="D532" t="s">
        <v>32</v>
      </c>
      <c r="E532" t="s">
        <v>68</v>
      </c>
      <c r="F532" t="s">
        <v>23</v>
      </c>
      <c r="G532" t="s">
        <v>37</v>
      </c>
      <c r="H532">
        <v>26</v>
      </c>
      <c r="I532">
        <v>1419.39</v>
      </c>
      <c r="J532">
        <v>1033.4100000000001</v>
      </c>
      <c r="K532">
        <f t="shared" si="48"/>
        <v>36904.14</v>
      </c>
      <c r="L532">
        <v>0</v>
      </c>
      <c r="M532">
        <f t="shared" si="49"/>
        <v>0</v>
      </c>
      <c r="N532">
        <f t="shared" si="50"/>
        <v>36904.14</v>
      </c>
      <c r="O532">
        <f t="shared" si="51"/>
        <v>26868.660000000003</v>
      </c>
      <c r="P532">
        <f t="shared" si="52"/>
        <v>10035.479999999996</v>
      </c>
      <c r="Q532">
        <f t="shared" si="53"/>
        <v>27.193371800562204</v>
      </c>
      <c r="R532" t="s">
        <v>50</v>
      </c>
      <c r="S532" t="s">
        <v>41</v>
      </c>
      <c r="T532">
        <v>5</v>
      </c>
    </row>
    <row r="533" spans="1:20">
      <c r="A533" t="s">
        <v>601</v>
      </c>
      <c r="B533" s="3">
        <v>45664</v>
      </c>
      <c r="C533" t="s">
        <v>21</v>
      </c>
      <c r="D533" t="s">
        <v>32</v>
      </c>
      <c r="E533" t="s">
        <v>68</v>
      </c>
      <c r="F533" t="s">
        <v>23</v>
      </c>
      <c r="G533" t="s">
        <v>44</v>
      </c>
      <c r="H533">
        <v>19</v>
      </c>
      <c r="I533">
        <v>1454.98</v>
      </c>
      <c r="J533">
        <v>1018.55</v>
      </c>
      <c r="K533">
        <f t="shared" si="48"/>
        <v>27644.62</v>
      </c>
      <c r="L533">
        <v>0.1</v>
      </c>
      <c r="M533">
        <f t="shared" si="49"/>
        <v>2764.462</v>
      </c>
      <c r="N533">
        <f t="shared" si="50"/>
        <v>24880.157999999999</v>
      </c>
      <c r="O533">
        <f t="shared" si="51"/>
        <v>19352.45</v>
      </c>
      <c r="P533">
        <f t="shared" si="52"/>
        <v>5527.7079999999987</v>
      </c>
      <c r="Q533">
        <f t="shared" si="53"/>
        <v>22.217334793452672</v>
      </c>
      <c r="R533" t="s">
        <v>50</v>
      </c>
      <c r="S533" t="s">
        <v>45</v>
      </c>
      <c r="T533">
        <v>3.8</v>
      </c>
    </row>
    <row r="534" spans="1:20">
      <c r="A534" t="s">
        <v>602</v>
      </c>
      <c r="B534" s="3">
        <v>45664</v>
      </c>
      <c r="C534" t="s">
        <v>21</v>
      </c>
      <c r="D534" t="s">
        <v>26</v>
      </c>
      <c r="E534" t="s">
        <v>68</v>
      </c>
      <c r="F534" t="s">
        <v>22</v>
      </c>
      <c r="G534" t="s">
        <v>33</v>
      </c>
      <c r="H534">
        <v>23</v>
      </c>
      <c r="I534">
        <v>1318.3</v>
      </c>
      <c r="J534">
        <v>791.87</v>
      </c>
      <c r="K534">
        <f t="shared" si="48"/>
        <v>30320.899999999998</v>
      </c>
      <c r="L534">
        <v>0.1</v>
      </c>
      <c r="M534">
        <f t="shared" si="49"/>
        <v>3032.09</v>
      </c>
      <c r="N534">
        <f t="shared" si="50"/>
        <v>27288.809999999998</v>
      </c>
      <c r="O534">
        <f t="shared" si="51"/>
        <v>18213.009999999998</v>
      </c>
      <c r="P534">
        <f t="shared" si="52"/>
        <v>9075.7999999999993</v>
      </c>
      <c r="Q534">
        <f t="shared" si="53"/>
        <v>33.258320901497719</v>
      </c>
      <c r="R534" t="s">
        <v>49</v>
      </c>
      <c r="S534" t="s">
        <v>41</v>
      </c>
      <c r="T534">
        <v>3.2</v>
      </c>
    </row>
    <row r="535" spans="1:20">
      <c r="A535" t="s">
        <v>603</v>
      </c>
      <c r="B535" s="3">
        <v>45664</v>
      </c>
      <c r="C535" t="s">
        <v>21</v>
      </c>
      <c r="D535" t="s">
        <v>28</v>
      </c>
      <c r="E535" t="s">
        <v>68</v>
      </c>
      <c r="F535" t="s">
        <v>22</v>
      </c>
      <c r="G535" t="s">
        <v>35</v>
      </c>
      <c r="H535">
        <v>26</v>
      </c>
      <c r="I535">
        <v>657.38</v>
      </c>
      <c r="J535">
        <v>452.88</v>
      </c>
      <c r="K535">
        <f t="shared" si="48"/>
        <v>17091.88</v>
      </c>
      <c r="L535">
        <v>0</v>
      </c>
      <c r="M535">
        <f t="shared" si="49"/>
        <v>0</v>
      </c>
      <c r="N535">
        <f t="shared" si="50"/>
        <v>17091.88</v>
      </c>
      <c r="O535">
        <f t="shared" si="51"/>
        <v>11774.88</v>
      </c>
      <c r="P535">
        <f t="shared" si="52"/>
        <v>5317.0000000000018</v>
      </c>
      <c r="Q535">
        <f t="shared" si="53"/>
        <v>31.108339164562359</v>
      </c>
      <c r="R535" t="s">
        <v>49</v>
      </c>
      <c r="S535" t="s">
        <v>41</v>
      </c>
      <c r="T535">
        <v>4.2</v>
      </c>
    </row>
    <row r="536" spans="1:20">
      <c r="A536" t="s">
        <v>604</v>
      </c>
      <c r="B536" s="3">
        <v>45665</v>
      </c>
      <c r="C536" t="s">
        <v>21</v>
      </c>
      <c r="D536" t="s">
        <v>32</v>
      </c>
      <c r="E536" t="s">
        <v>68</v>
      </c>
      <c r="F536" t="s">
        <v>22</v>
      </c>
      <c r="G536" t="s">
        <v>35</v>
      </c>
      <c r="H536">
        <v>47</v>
      </c>
      <c r="I536">
        <v>794.13</v>
      </c>
      <c r="J536">
        <v>513.16999999999996</v>
      </c>
      <c r="K536">
        <f t="shared" si="48"/>
        <v>37324.11</v>
      </c>
      <c r="L536">
        <v>0.05</v>
      </c>
      <c r="M536">
        <f t="shared" si="49"/>
        <v>1866.2055</v>
      </c>
      <c r="N536">
        <f t="shared" si="50"/>
        <v>35457.904500000004</v>
      </c>
      <c r="O536">
        <f t="shared" si="51"/>
        <v>24118.989999999998</v>
      </c>
      <c r="P536">
        <f t="shared" si="52"/>
        <v>11338.914500000006</v>
      </c>
      <c r="Q536">
        <f t="shared" si="53"/>
        <v>31.978523998788493</v>
      </c>
      <c r="R536" t="s">
        <v>50</v>
      </c>
      <c r="S536" t="s">
        <v>41</v>
      </c>
      <c r="T536">
        <v>4.5</v>
      </c>
    </row>
    <row r="537" spans="1:20">
      <c r="A537" t="s">
        <v>605</v>
      </c>
      <c r="B537" s="3">
        <v>45665</v>
      </c>
      <c r="C537" t="s">
        <v>21</v>
      </c>
      <c r="D537" t="s">
        <v>30</v>
      </c>
      <c r="E537" t="s">
        <v>68</v>
      </c>
      <c r="F537" t="s">
        <v>23</v>
      </c>
      <c r="G537" t="s">
        <v>37</v>
      </c>
      <c r="H537">
        <v>2</v>
      </c>
      <c r="I537">
        <v>1332.51</v>
      </c>
      <c r="J537">
        <v>943.8</v>
      </c>
      <c r="K537">
        <f t="shared" si="48"/>
        <v>2665.02</v>
      </c>
      <c r="L537">
        <v>0</v>
      </c>
      <c r="M537">
        <f t="shared" si="49"/>
        <v>0</v>
      </c>
      <c r="N537">
        <f t="shared" si="50"/>
        <v>2665.02</v>
      </c>
      <c r="O537">
        <f t="shared" si="51"/>
        <v>1887.6</v>
      </c>
      <c r="P537">
        <f t="shared" si="52"/>
        <v>777.42000000000007</v>
      </c>
      <c r="Q537">
        <f t="shared" si="53"/>
        <v>29.171263255060005</v>
      </c>
      <c r="R537" t="s">
        <v>50</v>
      </c>
      <c r="S537" t="s">
        <v>41</v>
      </c>
      <c r="T537">
        <v>3.8</v>
      </c>
    </row>
    <row r="538" spans="1:20">
      <c r="A538" t="s">
        <v>606</v>
      </c>
      <c r="B538" s="3">
        <v>45669</v>
      </c>
      <c r="C538" t="s">
        <v>21</v>
      </c>
      <c r="D538" t="s">
        <v>30</v>
      </c>
      <c r="E538" t="s">
        <v>68</v>
      </c>
      <c r="F538" t="s">
        <v>24</v>
      </c>
      <c r="G538" t="s">
        <v>40</v>
      </c>
      <c r="H538">
        <v>36</v>
      </c>
      <c r="I538">
        <v>1112.6400000000001</v>
      </c>
      <c r="J538">
        <v>589.78</v>
      </c>
      <c r="K538">
        <f t="shared" si="48"/>
        <v>40055.040000000001</v>
      </c>
      <c r="L538">
        <v>0</v>
      </c>
      <c r="M538">
        <f t="shared" si="49"/>
        <v>0</v>
      </c>
      <c r="N538">
        <f t="shared" si="50"/>
        <v>40055.040000000001</v>
      </c>
      <c r="O538">
        <f t="shared" si="51"/>
        <v>21232.079999999998</v>
      </c>
      <c r="P538">
        <f t="shared" si="52"/>
        <v>18822.960000000003</v>
      </c>
      <c r="Q538">
        <f t="shared" si="53"/>
        <v>46.992737992522294</v>
      </c>
      <c r="R538" t="s">
        <v>50</v>
      </c>
      <c r="S538" t="s">
        <v>41</v>
      </c>
      <c r="T538">
        <v>4.7</v>
      </c>
    </row>
    <row r="539" spans="1:20">
      <c r="A539" t="s">
        <v>607</v>
      </c>
      <c r="B539" s="3">
        <v>45671</v>
      </c>
      <c r="C539" t="s">
        <v>21</v>
      </c>
      <c r="D539" t="s">
        <v>26</v>
      </c>
      <c r="E539" t="s">
        <v>70</v>
      </c>
      <c r="F539" t="s">
        <v>22</v>
      </c>
      <c r="G539" t="s">
        <v>33</v>
      </c>
      <c r="H539">
        <v>46</v>
      </c>
      <c r="I539">
        <v>788.7</v>
      </c>
      <c r="J539">
        <v>591.94000000000005</v>
      </c>
      <c r="K539">
        <f t="shared" si="48"/>
        <v>36280.200000000004</v>
      </c>
      <c r="L539">
        <v>0.1</v>
      </c>
      <c r="M539">
        <f t="shared" si="49"/>
        <v>3628.0200000000004</v>
      </c>
      <c r="N539">
        <f t="shared" si="50"/>
        <v>32652.180000000004</v>
      </c>
      <c r="O539">
        <f t="shared" si="51"/>
        <v>27229.24</v>
      </c>
      <c r="P539">
        <f t="shared" si="52"/>
        <v>5422.9400000000023</v>
      </c>
      <c r="Q539">
        <f t="shared" si="53"/>
        <v>16.608201963850505</v>
      </c>
      <c r="R539" t="s">
        <v>49</v>
      </c>
      <c r="S539" t="s">
        <v>41</v>
      </c>
      <c r="T539">
        <v>3.3</v>
      </c>
    </row>
    <row r="540" spans="1:20">
      <c r="A540" t="s">
        <v>608</v>
      </c>
      <c r="B540" s="3">
        <v>45671</v>
      </c>
      <c r="C540" t="s">
        <v>21</v>
      </c>
      <c r="D540" t="s">
        <v>32</v>
      </c>
      <c r="E540" t="s">
        <v>68</v>
      </c>
      <c r="F540" t="s">
        <v>24</v>
      </c>
      <c r="G540" t="s">
        <v>29</v>
      </c>
      <c r="H540">
        <v>10</v>
      </c>
      <c r="I540">
        <v>386.11</v>
      </c>
      <c r="J540">
        <v>235.49</v>
      </c>
      <c r="K540">
        <f t="shared" si="48"/>
        <v>3861.1000000000004</v>
      </c>
      <c r="L540">
        <v>0</v>
      </c>
      <c r="M540">
        <f t="shared" si="49"/>
        <v>0</v>
      </c>
      <c r="N540">
        <f t="shared" si="50"/>
        <v>3861.1000000000004</v>
      </c>
      <c r="O540">
        <f t="shared" si="51"/>
        <v>2354.9</v>
      </c>
      <c r="P540">
        <f t="shared" si="52"/>
        <v>1506.2000000000003</v>
      </c>
      <c r="Q540">
        <f t="shared" si="53"/>
        <v>39.009608660744348</v>
      </c>
      <c r="R540" t="s">
        <v>50</v>
      </c>
      <c r="S540" t="s">
        <v>43</v>
      </c>
      <c r="T540">
        <v>3.6</v>
      </c>
    </row>
    <row r="541" spans="1:20">
      <c r="A541" t="s">
        <v>609</v>
      </c>
      <c r="B541" s="3">
        <v>45673</v>
      </c>
      <c r="C541" t="s">
        <v>21</v>
      </c>
      <c r="D541" t="s">
        <v>30</v>
      </c>
      <c r="E541" t="s">
        <v>68</v>
      </c>
      <c r="F541" t="s">
        <v>22</v>
      </c>
      <c r="G541" t="s">
        <v>35</v>
      </c>
      <c r="H541">
        <v>20</v>
      </c>
      <c r="I541">
        <v>898.71</v>
      </c>
      <c r="J541">
        <v>695.75</v>
      </c>
      <c r="K541">
        <f t="shared" si="48"/>
        <v>17974.2</v>
      </c>
      <c r="L541">
        <v>0.05</v>
      </c>
      <c r="M541">
        <f t="shared" si="49"/>
        <v>898.71</v>
      </c>
      <c r="N541">
        <f t="shared" si="50"/>
        <v>17075.490000000002</v>
      </c>
      <c r="O541">
        <f t="shared" si="51"/>
        <v>13915</v>
      </c>
      <c r="P541">
        <f t="shared" si="52"/>
        <v>3160.4900000000016</v>
      </c>
      <c r="Q541">
        <f t="shared" si="53"/>
        <v>18.508927123028396</v>
      </c>
      <c r="R541" t="s">
        <v>50</v>
      </c>
      <c r="S541" t="s">
        <v>41</v>
      </c>
      <c r="T541">
        <v>3.9</v>
      </c>
    </row>
    <row r="542" spans="1:20">
      <c r="A542" t="s">
        <v>610</v>
      </c>
      <c r="B542" s="3">
        <v>45675</v>
      </c>
      <c r="C542" t="s">
        <v>21</v>
      </c>
      <c r="D542" t="s">
        <v>28</v>
      </c>
      <c r="E542" t="s">
        <v>68</v>
      </c>
      <c r="F542" t="s">
        <v>24</v>
      </c>
      <c r="G542" t="s">
        <v>46</v>
      </c>
      <c r="H542">
        <v>8</v>
      </c>
      <c r="I542">
        <v>365.89</v>
      </c>
      <c r="J542">
        <v>186.31</v>
      </c>
      <c r="K542">
        <f t="shared" si="48"/>
        <v>2927.12</v>
      </c>
      <c r="L542">
        <v>0.1</v>
      </c>
      <c r="M542">
        <f t="shared" si="49"/>
        <v>292.71199999999999</v>
      </c>
      <c r="N542">
        <f t="shared" si="50"/>
        <v>2634.4079999999999</v>
      </c>
      <c r="O542">
        <f t="shared" si="51"/>
        <v>1490.48</v>
      </c>
      <c r="P542">
        <f t="shared" si="52"/>
        <v>1143.9279999999999</v>
      </c>
      <c r="Q542">
        <f t="shared" si="53"/>
        <v>43.42258298638631</v>
      </c>
      <c r="R542" t="s">
        <v>50</v>
      </c>
      <c r="S542" t="s">
        <v>41</v>
      </c>
      <c r="T542">
        <v>3.3</v>
      </c>
    </row>
    <row r="543" spans="1:20">
      <c r="A543" t="s">
        <v>611</v>
      </c>
      <c r="B543" s="3">
        <v>45676</v>
      </c>
      <c r="C543" t="s">
        <v>21</v>
      </c>
      <c r="D543" t="s">
        <v>28</v>
      </c>
      <c r="E543" t="s">
        <v>68</v>
      </c>
      <c r="F543" t="s">
        <v>22</v>
      </c>
      <c r="G543" t="s">
        <v>33</v>
      </c>
      <c r="H543">
        <v>37</v>
      </c>
      <c r="I543">
        <v>344.34</v>
      </c>
      <c r="J543">
        <v>233.73</v>
      </c>
      <c r="K543">
        <f t="shared" si="48"/>
        <v>12740.58</v>
      </c>
      <c r="L543">
        <v>0</v>
      </c>
      <c r="M543">
        <f t="shared" si="49"/>
        <v>0</v>
      </c>
      <c r="N543">
        <f t="shared" si="50"/>
        <v>12740.58</v>
      </c>
      <c r="O543">
        <f t="shared" si="51"/>
        <v>8648.01</v>
      </c>
      <c r="P543">
        <f t="shared" si="52"/>
        <v>4092.5699999999997</v>
      </c>
      <c r="Q543">
        <f t="shared" si="53"/>
        <v>32.122320961840039</v>
      </c>
      <c r="R543" t="s">
        <v>50</v>
      </c>
      <c r="S543" t="s">
        <v>45</v>
      </c>
      <c r="T543">
        <v>3.5</v>
      </c>
    </row>
    <row r="544" spans="1:20">
      <c r="A544" t="s">
        <v>612</v>
      </c>
      <c r="B544" s="3">
        <v>45676</v>
      </c>
      <c r="C544" t="s">
        <v>21</v>
      </c>
      <c r="D544" t="s">
        <v>30</v>
      </c>
      <c r="E544" t="s">
        <v>68</v>
      </c>
      <c r="F544" t="s">
        <v>20</v>
      </c>
      <c r="G544" t="s">
        <v>36</v>
      </c>
      <c r="H544">
        <v>10</v>
      </c>
      <c r="I544">
        <v>643.04999999999995</v>
      </c>
      <c r="J544">
        <v>349.07</v>
      </c>
      <c r="K544">
        <f t="shared" si="48"/>
        <v>6430.5</v>
      </c>
      <c r="L544">
        <v>0.05</v>
      </c>
      <c r="M544">
        <f t="shared" si="49"/>
        <v>321.52500000000003</v>
      </c>
      <c r="N544">
        <f t="shared" si="50"/>
        <v>6108.9750000000004</v>
      </c>
      <c r="O544">
        <f t="shared" si="51"/>
        <v>3490.7</v>
      </c>
      <c r="P544">
        <f t="shared" si="52"/>
        <v>2618.2750000000005</v>
      </c>
      <c r="Q544">
        <f t="shared" si="53"/>
        <v>42.859481336885494</v>
      </c>
      <c r="R544" t="s">
        <v>50</v>
      </c>
      <c r="S544" t="s">
        <v>41</v>
      </c>
      <c r="T544">
        <v>4.7</v>
      </c>
    </row>
    <row r="545" spans="1:20">
      <c r="A545" t="s">
        <v>613</v>
      </c>
      <c r="B545" s="3">
        <v>45678</v>
      </c>
      <c r="C545" t="s">
        <v>21</v>
      </c>
      <c r="D545" t="s">
        <v>26</v>
      </c>
      <c r="E545" t="s">
        <v>68</v>
      </c>
      <c r="F545" t="s">
        <v>20</v>
      </c>
      <c r="G545" t="s">
        <v>31</v>
      </c>
      <c r="H545">
        <v>21</v>
      </c>
      <c r="I545">
        <v>251.63</v>
      </c>
      <c r="J545">
        <v>108.72</v>
      </c>
      <c r="K545">
        <f t="shared" si="48"/>
        <v>5284.23</v>
      </c>
      <c r="L545">
        <v>0</v>
      </c>
      <c r="M545">
        <f t="shared" si="49"/>
        <v>0</v>
      </c>
      <c r="N545">
        <f t="shared" si="50"/>
        <v>5284.23</v>
      </c>
      <c r="O545">
        <f t="shared" si="51"/>
        <v>2283.12</v>
      </c>
      <c r="P545">
        <f t="shared" si="52"/>
        <v>3001.1099999999997</v>
      </c>
      <c r="Q545">
        <f t="shared" si="53"/>
        <v>56.793705043118855</v>
      </c>
      <c r="R545" t="s">
        <v>50</v>
      </c>
      <c r="S545" t="s">
        <v>41</v>
      </c>
      <c r="T545">
        <v>3.8</v>
      </c>
    </row>
    <row r="546" spans="1:20">
      <c r="A546" t="s">
        <v>614</v>
      </c>
      <c r="B546" s="3">
        <v>45682</v>
      </c>
      <c r="C546" t="s">
        <v>21</v>
      </c>
      <c r="D546" t="s">
        <v>32</v>
      </c>
      <c r="E546" t="s">
        <v>68</v>
      </c>
      <c r="F546" t="s">
        <v>22</v>
      </c>
      <c r="G546" t="s">
        <v>33</v>
      </c>
      <c r="H546">
        <v>3</v>
      </c>
      <c r="I546">
        <v>630.45000000000005</v>
      </c>
      <c r="J546">
        <v>426.42</v>
      </c>
      <c r="K546">
        <f t="shared" si="48"/>
        <v>1891.3500000000001</v>
      </c>
      <c r="L546">
        <v>0.25</v>
      </c>
      <c r="M546">
        <f t="shared" si="49"/>
        <v>472.83750000000003</v>
      </c>
      <c r="N546">
        <f t="shared" si="50"/>
        <v>1418.5125</v>
      </c>
      <c r="O546">
        <f t="shared" si="51"/>
        <v>1279.26</v>
      </c>
      <c r="P546">
        <f t="shared" si="52"/>
        <v>139.25250000000005</v>
      </c>
      <c r="Q546">
        <f t="shared" si="53"/>
        <v>9.8167975255769733</v>
      </c>
      <c r="R546" t="s">
        <v>49</v>
      </c>
      <c r="S546" t="s">
        <v>47</v>
      </c>
      <c r="T546">
        <v>4.2</v>
      </c>
    </row>
    <row r="547" spans="1:20">
      <c r="A547" t="s">
        <v>615</v>
      </c>
      <c r="B547" s="3">
        <v>45683</v>
      </c>
      <c r="C547" t="s">
        <v>21</v>
      </c>
      <c r="D547" t="s">
        <v>28</v>
      </c>
      <c r="E547" t="s">
        <v>70</v>
      </c>
      <c r="F547" t="s">
        <v>22</v>
      </c>
      <c r="G547" t="s">
        <v>35</v>
      </c>
      <c r="H547">
        <v>41</v>
      </c>
      <c r="I547">
        <v>385.67</v>
      </c>
      <c r="J547">
        <v>280.91000000000003</v>
      </c>
      <c r="K547">
        <f t="shared" si="48"/>
        <v>15812.470000000001</v>
      </c>
      <c r="L547">
        <v>0.05</v>
      </c>
      <c r="M547">
        <f t="shared" si="49"/>
        <v>790.62350000000015</v>
      </c>
      <c r="N547">
        <f t="shared" si="50"/>
        <v>15021.846500000001</v>
      </c>
      <c r="O547">
        <f t="shared" si="51"/>
        <v>11517.310000000001</v>
      </c>
      <c r="P547">
        <f t="shared" si="52"/>
        <v>3504.5365000000002</v>
      </c>
      <c r="Q547">
        <f t="shared" si="53"/>
        <v>23.329598661522734</v>
      </c>
      <c r="R547" t="s">
        <v>49</v>
      </c>
      <c r="S547" t="s">
        <v>41</v>
      </c>
      <c r="T547">
        <v>3.3</v>
      </c>
    </row>
    <row r="548" spans="1:20">
      <c r="A548" t="s">
        <v>616</v>
      </c>
      <c r="B548" s="3">
        <v>45683</v>
      </c>
      <c r="C548" t="s">
        <v>21</v>
      </c>
      <c r="D548" t="s">
        <v>26</v>
      </c>
      <c r="E548" t="s">
        <v>68</v>
      </c>
      <c r="F548" t="s">
        <v>24</v>
      </c>
      <c r="G548" t="s">
        <v>29</v>
      </c>
      <c r="H548">
        <v>44</v>
      </c>
      <c r="I548">
        <v>674.6</v>
      </c>
      <c r="J548">
        <v>456.9</v>
      </c>
      <c r="K548">
        <f t="shared" si="48"/>
        <v>29682.400000000001</v>
      </c>
      <c r="L548">
        <v>0.15</v>
      </c>
      <c r="M548">
        <f t="shared" si="49"/>
        <v>4452.3599999999997</v>
      </c>
      <c r="N548">
        <f t="shared" si="50"/>
        <v>25230.04</v>
      </c>
      <c r="O548">
        <f t="shared" si="51"/>
        <v>20103.599999999999</v>
      </c>
      <c r="P548">
        <f t="shared" si="52"/>
        <v>5126.4400000000023</v>
      </c>
      <c r="Q548">
        <f t="shared" si="53"/>
        <v>20.31879457979457</v>
      </c>
      <c r="R548" t="s">
        <v>49</v>
      </c>
      <c r="S548" t="s">
        <v>41</v>
      </c>
      <c r="T548">
        <v>3</v>
      </c>
    </row>
    <row r="549" spans="1:20">
      <c r="A549" t="s">
        <v>617</v>
      </c>
      <c r="B549" s="3">
        <v>45684</v>
      </c>
      <c r="C549" t="s">
        <v>21</v>
      </c>
      <c r="D549" t="s">
        <v>26</v>
      </c>
      <c r="E549" t="s">
        <v>70</v>
      </c>
      <c r="F549" t="s">
        <v>22</v>
      </c>
      <c r="G549" t="s">
        <v>33</v>
      </c>
      <c r="H549">
        <v>8</v>
      </c>
      <c r="I549">
        <v>1072.96</v>
      </c>
      <c r="J549">
        <v>714.25</v>
      </c>
      <c r="K549">
        <f t="shared" si="48"/>
        <v>8583.68</v>
      </c>
      <c r="L549">
        <v>0.05</v>
      </c>
      <c r="M549">
        <f t="shared" si="49"/>
        <v>429.18400000000003</v>
      </c>
      <c r="N549">
        <f t="shared" si="50"/>
        <v>8154.4960000000001</v>
      </c>
      <c r="O549">
        <f t="shared" si="51"/>
        <v>5714</v>
      </c>
      <c r="P549">
        <f t="shared" si="52"/>
        <v>2440.4960000000001</v>
      </c>
      <c r="Q549">
        <f t="shared" si="53"/>
        <v>29.92822609760309</v>
      </c>
      <c r="R549" t="s">
        <v>49</v>
      </c>
      <c r="S549" t="s">
        <v>43</v>
      </c>
      <c r="T549">
        <v>3.2</v>
      </c>
    </row>
    <row r="550" spans="1:20">
      <c r="A550" t="s">
        <v>618</v>
      </c>
      <c r="B550" s="3">
        <v>45684</v>
      </c>
      <c r="C550" t="s">
        <v>21</v>
      </c>
      <c r="D550" t="s">
        <v>26</v>
      </c>
      <c r="E550" t="s">
        <v>70</v>
      </c>
      <c r="F550" t="s">
        <v>24</v>
      </c>
      <c r="G550" t="s">
        <v>40</v>
      </c>
      <c r="H550">
        <v>9</v>
      </c>
      <c r="I550">
        <v>100.51</v>
      </c>
      <c r="J550">
        <v>59.9</v>
      </c>
      <c r="K550">
        <f t="shared" si="48"/>
        <v>904.59</v>
      </c>
      <c r="L550">
        <v>0</v>
      </c>
      <c r="M550">
        <f t="shared" si="49"/>
        <v>0</v>
      </c>
      <c r="N550">
        <f t="shared" si="50"/>
        <v>904.59</v>
      </c>
      <c r="O550">
        <f t="shared" si="51"/>
        <v>539.1</v>
      </c>
      <c r="P550">
        <f t="shared" si="52"/>
        <v>365.49</v>
      </c>
      <c r="Q550">
        <f t="shared" si="53"/>
        <v>40.403939906476964</v>
      </c>
      <c r="R550" t="s">
        <v>49</v>
      </c>
      <c r="S550" t="s">
        <v>41</v>
      </c>
      <c r="T550">
        <v>4.3</v>
      </c>
    </row>
    <row r="551" spans="1:20">
      <c r="A551" t="s">
        <v>619</v>
      </c>
      <c r="B551" s="3">
        <v>45685</v>
      </c>
      <c r="C551" t="s">
        <v>21</v>
      </c>
      <c r="D551" t="s">
        <v>30</v>
      </c>
      <c r="E551" t="s">
        <v>70</v>
      </c>
      <c r="F551" t="s">
        <v>20</v>
      </c>
      <c r="G551" t="s">
        <v>31</v>
      </c>
      <c r="H551">
        <v>47</v>
      </c>
      <c r="I551">
        <v>190.34</v>
      </c>
      <c r="J551">
        <v>77.45</v>
      </c>
      <c r="K551">
        <f t="shared" si="48"/>
        <v>8945.98</v>
      </c>
      <c r="L551">
        <v>0.1</v>
      </c>
      <c r="M551">
        <f t="shared" si="49"/>
        <v>894.59799999999996</v>
      </c>
      <c r="N551">
        <f t="shared" si="50"/>
        <v>8051.3819999999996</v>
      </c>
      <c r="O551">
        <f t="shared" si="51"/>
        <v>3640.15</v>
      </c>
      <c r="P551">
        <f t="shared" si="52"/>
        <v>4411.232</v>
      </c>
      <c r="Q551">
        <f t="shared" si="53"/>
        <v>54.788507115921213</v>
      </c>
      <c r="R551" t="s">
        <v>49</v>
      </c>
      <c r="S551" t="s">
        <v>43</v>
      </c>
      <c r="T551">
        <v>3.1</v>
      </c>
    </row>
    <row r="552" spans="1:20">
      <c r="A552" t="s">
        <v>620</v>
      </c>
      <c r="B552" s="3">
        <v>45687</v>
      </c>
      <c r="C552" t="s">
        <v>21</v>
      </c>
      <c r="D552" t="s">
        <v>30</v>
      </c>
      <c r="E552" t="s">
        <v>86</v>
      </c>
      <c r="F552" t="s">
        <v>23</v>
      </c>
      <c r="G552" t="s">
        <v>44</v>
      </c>
      <c r="H552">
        <v>37</v>
      </c>
      <c r="I552">
        <v>278.63</v>
      </c>
      <c r="J552">
        <v>215.1</v>
      </c>
      <c r="K552">
        <f t="shared" si="48"/>
        <v>10309.31</v>
      </c>
      <c r="L552">
        <v>0.25</v>
      </c>
      <c r="M552">
        <f t="shared" si="49"/>
        <v>2577.3274999999999</v>
      </c>
      <c r="N552">
        <f t="shared" si="50"/>
        <v>7731.9825000000001</v>
      </c>
      <c r="O552">
        <f t="shared" si="51"/>
        <v>7958.7</v>
      </c>
      <c r="P552">
        <f t="shared" si="52"/>
        <v>-226.71749999999975</v>
      </c>
      <c r="Q552">
        <f t="shared" si="53"/>
        <v>-2.9322039981337222</v>
      </c>
      <c r="R552" t="s">
        <v>49</v>
      </c>
      <c r="S552" t="s">
        <v>45</v>
      </c>
      <c r="T552">
        <v>4.0999999999999996</v>
      </c>
    </row>
    <row r="553" spans="1:20">
      <c r="A553" t="s">
        <v>621</v>
      </c>
      <c r="B553" s="3">
        <v>45687</v>
      </c>
      <c r="C553" t="s">
        <v>21</v>
      </c>
      <c r="D553" t="s">
        <v>30</v>
      </c>
      <c r="E553" t="s">
        <v>68</v>
      </c>
      <c r="F553" t="s">
        <v>20</v>
      </c>
      <c r="G553" t="s">
        <v>31</v>
      </c>
      <c r="H553">
        <v>10</v>
      </c>
      <c r="I553">
        <v>259.92</v>
      </c>
      <c r="J553">
        <v>100.58</v>
      </c>
      <c r="K553">
        <f t="shared" si="48"/>
        <v>2599.2000000000003</v>
      </c>
      <c r="L553">
        <v>0.1</v>
      </c>
      <c r="M553">
        <f t="shared" si="49"/>
        <v>259.92</v>
      </c>
      <c r="N553">
        <f t="shared" si="50"/>
        <v>2339.2800000000002</v>
      </c>
      <c r="O553">
        <f t="shared" si="51"/>
        <v>1005.8</v>
      </c>
      <c r="P553">
        <f t="shared" si="52"/>
        <v>1333.4800000000002</v>
      </c>
      <c r="Q553">
        <f t="shared" si="53"/>
        <v>57.003864436920772</v>
      </c>
      <c r="R553" t="s">
        <v>49</v>
      </c>
      <c r="S553" t="s">
        <v>41</v>
      </c>
      <c r="T553">
        <v>3.6</v>
      </c>
    </row>
    <row r="554" spans="1:20">
      <c r="A554" t="s">
        <v>622</v>
      </c>
      <c r="B554" s="3">
        <v>45687</v>
      </c>
      <c r="C554" t="s">
        <v>21</v>
      </c>
      <c r="D554" t="s">
        <v>26</v>
      </c>
      <c r="E554" t="s">
        <v>68</v>
      </c>
      <c r="F554" t="s">
        <v>23</v>
      </c>
      <c r="G554" t="s">
        <v>37</v>
      </c>
      <c r="H554">
        <v>34</v>
      </c>
      <c r="I554">
        <v>1120.95</v>
      </c>
      <c r="J554">
        <v>860.01</v>
      </c>
      <c r="K554">
        <f t="shared" si="48"/>
        <v>38112.300000000003</v>
      </c>
      <c r="L554">
        <v>0.15</v>
      </c>
      <c r="M554">
        <f t="shared" si="49"/>
        <v>5716.8450000000003</v>
      </c>
      <c r="N554">
        <f t="shared" si="50"/>
        <v>32395.455000000002</v>
      </c>
      <c r="O554">
        <f t="shared" si="51"/>
        <v>29240.34</v>
      </c>
      <c r="P554">
        <f t="shared" si="52"/>
        <v>3155.1150000000016</v>
      </c>
      <c r="Q554">
        <f t="shared" si="53"/>
        <v>9.7393754772081493</v>
      </c>
      <c r="R554" t="s">
        <v>50</v>
      </c>
      <c r="S554" t="s">
        <v>43</v>
      </c>
      <c r="T554">
        <v>3.6</v>
      </c>
    </row>
    <row r="555" spans="1:20">
      <c r="A555" t="s">
        <v>623</v>
      </c>
      <c r="B555" s="3">
        <v>45691</v>
      </c>
      <c r="C555" t="s">
        <v>21</v>
      </c>
      <c r="D555" t="s">
        <v>32</v>
      </c>
      <c r="E555" t="s">
        <v>86</v>
      </c>
      <c r="F555" t="s">
        <v>22</v>
      </c>
      <c r="G555" t="s">
        <v>42</v>
      </c>
      <c r="H555">
        <v>15</v>
      </c>
      <c r="I555">
        <v>507</v>
      </c>
      <c r="J555">
        <v>348.72</v>
      </c>
      <c r="K555">
        <f t="shared" si="48"/>
        <v>7605</v>
      </c>
      <c r="L555">
        <v>0.2</v>
      </c>
      <c r="M555">
        <f t="shared" si="49"/>
        <v>1521</v>
      </c>
      <c r="N555">
        <f t="shared" si="50"/>
        <v>6084</v>
      </c>
      <c r="O555">
        <f t="shared" si="51"/>
        <v>5230.8</v>
      </c>
      <c r="P555">
        <f t="shared" si="52"/>
        <v>853.19999999999982</v>
      </c>
      <c r="Q555">
        <f t="shared" si="53"/>
        <v>14.023668639053252</v>
      </c>
      <c r="R555" t="s">
        <v>51</v>
      </c>
      <c r="S555" t="s">
        <v>43</v>
      </c>
      <c r="T555">
        <v>3.8</v>
      </c>
    </row>
    <row r="556" spans="1:20">
      <c r="A556" t="s">
        <v>624</v>
      </c>
      <c r="B556" s="3">
        <v>45693</v>
      </c>
      <c r="C556" t="s">
        <v>21</v>
      </c>
      <c r="D556" t="s">
        <v>30</v>
      </c>
      <c r="E556" t="s">
        <v>68</v>
      </c>
      <c r="F556" t="s">
        <v>22</v>
      </c>
      <c r="G556" t="s">
        <v>35</v>
      </c>
      <c r="H556">
        <v>5</v>
      </c>
      <c r="I556">
        <v>54.1</v>
      </c>
      <c r="J556">
        <v>33.79</v>
      </c>
      <c r="K556">
        <f t="shared" si="48"/>
        <v>270.5</v>
      </c>
      <c r="L556">
        <v>0</v>
      </c>
      <c r="M556">
        <f t="shared" si="49"/>
        <v>0</v>
      </c>
      <c r="N556">
        <f t="shared" si="50"/>
        <v>270.5</v>
      </c>
      <c r="O556">
        <f t="shared" si="51"/>
        <v>168.95</v>
      </c>
      <c r="P556">
        <f t="shared" si="52"/>
        <v>101.55000000000001</v>
      </c>
      <c r="Q556">
        <f t="shared" si="53"/>
        <v>37.541589648798521</v>
      </c>
      <c r="R556" t="s">
        <v>49</v>
      </c>
      <c r="S556" t="s">
        <v>41</v>
      </c>
      <c r="T556">
        <v>3.6</v>
      </c>
    </row>
    <row r="557" spans="1:20">
      <c r="A557" t="s">
        <v>625</v>
      </c>
      <c r="B557" s="3">
        <v>45693</v>
      </c>
      <c r="C557" t="s">
        <v>21</v>
      </c>
      <c r="D557" t="s">
        <v>32</v>
      </c>
      <c r="E557" t="s">
        <v>68</v>
      </c>
      <c r="F557" t="s">
        <v>20</v>
      </c>
      <c r="G557" t="s">
        <v>36</v>
      </c>
      <c r="H557">
        <v>40</v>
      </c>
      <c r="I557">
        <v>959.41</v>
      </c>
      <c r="J557">
        <v>478.87</v>
      </c>
      <c r="K557">
        <f t="shared" si="48"/>
        <v>38376.400000000001</v>
      </c>
      <c r="L557">
        <v>0</v>
      </c>
      <c r="M557">
        <f t="shared" si="49"/>
        <v>0</v>
      </c>
      <c r="N557">
        <f t="shared" si="50"/>
        <v>38376.400000000001</v>
      </c>
      <c r="O557">
        <f t="shared" si="51"/>
        <v>19154.8</v>
      </c>
      <c r="P557">
        <f t="shared" si="52"/>
        <v>19221.600000000002</v>
      </c>
      <c r="Q557">
        <f t="shared" si="53"/>
        <v>50.087032655486183</v>
      </c>
      <c r="R557" t="s">
        <v>51</v>
      </c>
      <c r="S557" t="s">
        <v>43</v>
      </c>
      <c r="T557">
        <v>4.3</v>
      </c>
    </row>
    <row r="558" spans="1:20">
      <c r="A558" t="s">
        <v>626</v>
      </c>
      <c r="B558" s="3">
        <v>45693</v>
      </c>
      <c r="C558" t="s">
        <v>21</v>
      </c>
      <c r="D558" t="s">
        <v>26</v>
      </c>
      <c r="E558" t="s">
        <v>70</v>
      </c>
      <c r="F558" t="s">
        <v>20</v>
      </c>
      <c r="G558" t="s">
        <v>31</v>
      </c>
      <c r="H558">
        <v>38</v>
      </c>
      <c r="I558">
        <v>600.24</v>
      </c>
      <c r="J558">
        <v>340.03</v>
      </c>
      <c r="K558">
        <f t="shared" si="48"/>
        <v>22809.119999999999</v>
      </c>
      <c r="L558">
        <v>0.1</v>
      </c>
      <c r="M558">
        <f t="shared" si="49"/>
        <v>2280.9119999999998</v>
      </c>
      <c r="N558">
        <f t="shared" si="50"/>
        <v>20528.207999999999</v>
      </c>
      <c r="O558">
        <f t="shared" si="51"/>
        <v>12921.14</v>
      </c>
      <c r="P558">
        <f t="shared" si="52"/>
        <v>7607.0679999999993</v>
      </c>
      <c r="Q558">
        <f t="shared" si="53"/>
        <v>37.056658817954293</v>
      </c>
      <c r="R558" t="s">
        <v>50</v>
      </c>
      <c r="S558" t="s">
        <v>41</v>
      </c>
      <c r="T558">
        <v>3.4</v>
      </c>
    </row>
    <row r="559" spans="1:20">
      <c r="A559" t="s">
        <v>627</v>
      </c>
      <c r="B559" s="3">
        <v>45697</v>
      </c>
      <c r="C559" t="s">
        <v>21</v>
      </c>
      <c r="D559" t="s">
        <v>32</v>
      </c>
      <c r="E559" t="s">
        <v>70</v>
      </c>
      <c r="F559" t="s">
        <v>23</v>
      </c>
      <c r="G559" t="s">
        <v>37</v>
      </c>
      <c r="H559">
        <v>18</v>
      </c>
      <c r="I559">
        <v>1284.54</v>
      </c>
      <c r="J559">
        <v>1086.31</v>
      </c>
      <c r="K559">
        <f t="shared" si="48"/>
        <v>23121.72</v>
      </c>
      <c r="L559">
        <v>0.05</v>
      </c>
      <c r="M559">
        <f t="shared" si="49"/>
        <v>1156.086</v>
      </c>
      <c r="N559">
        <f t="shared" si="50"/>
        <v>21965.634000000002</v>
      </c>
      <c r="O559">
        <f t="shared" si="51"/>
        <v>19553.579999999998</v>
      </c>
      <c r="P559">
        <f t="shared" si="52"/>
        <v>2412.0540000000037</v>
      </c>
      <c r="Q559">
        <f t="shared" si="53"/>
        <v>10.981035193429898</v>
      </c>
      <c r="R559" t="s">
        <v>49</v>
      </c>
      <c r="S559" t="s">
        <v>43</v>
      </c>
      <c r="T559">
        <v>4.9000000000000004</v>
      </c>
    </row>
    <row r="560" spans="1:20">
      <c r="A560" t="s">
        <v>628</v>
      </c>
      <c r="B560" s="3">
        <v>45703</v>
      </c>
      <c r="C560" t="s">
        <v>21</v>
      </c>
      <c r="D560" t="s">
        <v>26</v>
      </c>
      <c r="E560" t="s">
        <v>86</v>
      </c>
      <c r="F560" t="s">
        <v>24</v>
      </c>
      <c r="G560" t="s">
        <v>46</v>
      </c>
      <c r="H560">
        <v>30</v>
      </c>
      <c r="I560">
        <v>991.1</v>
      </c>
      <c r="J560">
        <v>544.09</v>
      </c>
      <c r="K560">
        <f t="shared" si="48"/>
        <v>29733</v>
      </c>
      <c r="L560">
        <v>0.15</v>
      </c>
      <c r="M560">
        <f t="shared" si="49"/>
        <v>4459.95</v>
      </c>
      <c r="N560">
        <f t="shared" si="50"/>
        <v>25273.05</v>
      </c>
      <c r="O560">
        <f t="shared" si="51"/>
        <v>16322.7</v>
      </c>
      <c r="P560">
        <f t="shared" si="52"/>
        <v>8950.3499999999985</v>
      </c>
      <c r="Q560">
        <f t="shared" si="53"/>
        <v>35.414601720013998</v>
      </c>
      <c r="R560" t="s">
        <v>49</v>
      </c>
      <c r="S560" t="s">
        <v>41</v>
      </c>
      <c r="T560">
        <v>4.9000000000000004</v>
      </c>
    </row>
    <row r="561" spans="1:20">
      <c r="A561" t="s">
        <v>629</v>
      </c>
      <c r="B561" s="3">
        <v>45703</v>
      </c>
      <c r="C561" t="s">
        <v>21</v>
      </c>
      <c r="D561" t="s">
        <v>28</v>
      </c>
      <c r="E561" t="s">
        <v>86</v>
      </c>
      <c r="F561" t="s">
        <v>22</v>
      </c>
      <c r="G561" t="s">
        <v>35</v>
      </c>
      <c r="H561">
        <v>43</v>
      </c>
      <c r="I561">
        <v>164.57</v>
      </c>
      <c r="J561">
        <v>111.24</v>
      </c>
      <c r="K561">
        <f t="shared" si="48"/>
        <v>7076.5099999999993</v>
      </c>
      <c r="L561">
        <v>0.2</v>
      </c>
      <c r="M561">
        <f t="shared" si="49"/>
        <v>1415.3019999999999</v>
      </c>
      <c r="N561">
        <f t="shared" si="50"/>
        <v>5661.2079999999996</v>
      </c>
      <c r="O561">
        <f t="shared" si="51"/>
        <v>4783.32</v>
      </c>
      <c r="P561">
        <f t="shared" si="52"/>
        <v>877.88799999999992</v>
      </c>
      <c r="Q561">
        <f t="shared" si="53"/>
        <v>15.507079054505683</v>
      </c>
      <c r="R561" t="s">
        <v>50</v>
      </c>
      <c r="S561" t="s">
        <v>43</v>
      </c>
      <c r="T561">
        <v>3.3</v>
      </c>
    </row>
    <row r="562" spans="1:20">
      <c r="A562" t="s">
        <v>630</v>
      </c>
      <c r="B562" s="3">
        <v>45703</v>
      </c>
      <c r="C562" t="s">
        <v>21</v>
      </c>
      <c r="D562" t="s">
        <v>32</v>
      </c>
      <c r="E562" t="s">
        <v>70</v>
      </c>
      <c r="F562" t="s">
        <v>20</v>
      </c>
      <c r="G562" t="s">
        <v>36</v>
      </c>
      <c r="H562">
        <v>23</v>
      </c>
      <c r="I562">
        <v>151.88999999999999</v>
      </c>
      <c r="J562">
        <v>64.400000000000006</v>
      </c>
      <c r="K562">
        <f t="shared" si="48"/>
        <v>3493.47</v>
      </c>
      <c r="L562">
        <v>0</v>
      </c>
      <c r="M562">
        <f t="shared" si="49"/>
        <v>0</v>
      </c>
      <c r="N562">
        <f t="shared" si="50"/>
        <v>3493.47</v>
      </c>
      <c r="O562">
        <f t="shared" si="51"/>
        <v>1481.2</v>
      </c>
      <c r="P562">
        <f t="shared" si="52"/>
        <v>2012.2699999999998</v>
      </c>
      <c r="Q562">
        <f t="shared" si="53"/>
        <v>57.600895384817953</v>
      </c>
      <c r="R562" t="s">
        <v>50</v>
      </c>
      <c r="S562" t="s">
        <v>41</v>
      </c>
      <c r="T562">
        <v>3.9</v>
      </c>
    </row>
    <row r="563" spans="1:20">
      <c r="A563" t="s">
        <v>631</v>
      </c>
      <c r="B563" s="3">
        <v>45706</v>
      </c>
      <c r="C563" t="s">
        <v>21</v>
      </c>
      <c r="D563" t="s">
        <v>30</v>
      </c>
      <c r="E563" t="s">
        <v>68</v>
      </c>
      <c r="F563" t="s">
        <v>23</v>
      </c>
      <c r="G563" t="s">
        <v>37</v>
      </c>
      <c r="H563">
        <v>10</v>
      </c>
      <c r="I563">
        <v>221.51</v>
      </c>
      <c r="J563">
        <v>181.21</v>
      </c>
      <c r="K563">
        <f t="shared" si="48"/>
        <v>2215.1</v>
      </c>
      <c r="L563">
        <v>0</v>
      </c>
      <c r="M563">
        <f t="shared" si="49"/>
        <v>0</v>
      </c>
      <c r="N563">
        <f t="shared" si="50"/>
        <v>2215.1</v>
      </c>
      <c r="O563">
        <f t="shared" si="51"/>
        <v>1812.1000000000001</v>
      </c>
      <c r="P563">
        <f t="shared" si="52"/>
        <v>402.99999999999977</v>
      </c>
      <c r="Q563">
        <f t="shared" si="53"/>
        <v>18.193309557130593</v>
      </c>
      <c r="R563" t="s">
        <v>50</v>
      </c>
      <c r="S563" t="s">
        <v>45</v>
      </c>
      <c r="T563">
        <v>4.5999999999999996</v>
      </c>
    </row>
    <row r="564" spans="1:20">
      <c r="A564" t="s">
        <v>632</v>
      </c>
      <c r="B564" s="3">
        <v>45706</v>
      </c>
      <c r="C564" t="s">
        <v>21</v>
      </c>
      <c r="D564" t="s">
        <v>26</v>
      </c>
      <c r="E564" t="s">
        <v>86</v>
      </c>
      <c r="F564" t="s">
        <v>23</v>
      </c>
      <c r="G564" t="s">
        <v>44</v>
      </c>
      <c r="H564">
        <v>6</v>
      </c>
      <c r="I564">
        <v>93.6</v>
      </c>
      <c r="J564">
        <v>77.650000000000006</v>
      </c>
      <c r="K564">
        <f t="shared" si="48"/>
        <v>561.59999999999991</v>
      </c>
      <c r="L564">
        <v>0.15</v>
      </c>
      <c r="M564">
        <f t="shared" si="49"/>
        <v>84.239999999999981</v>
      </c>
      <c r="N564">
        <f t="shared" si="50"/>
        <v>477.3599999999999</v>
      </c>
      <c r="O564">
        <f t="shared" si="51"/>
        <v>465.90000000000003</v>
      </c>
      <c r="P564">
        <f t="shared" si="52"/>
        <v>11.459999999999866</v>
      </c>
      <c r="Q564">
        <f t="shared" si="53"/>
        <v>2.400703871292079</v>
      </c>
      <c r="R564" t="s">
        <v>49</v>
      </c>
      <c r="S564" t="s">
        <v>41</v>
      </c>
      <c r="T564">
        <v>4.0999999999999996</v>
      </c>
    </row>
    <row r="565" spans="1:20">
      <c r="A565" t="s">
        <v>633</v>
      </c>
      <c r="B565" s="3">
        <v>45707</v>
      </c>
      <c r="C565" t="s">
        <v>21</v>
      </c>
      <c r="D565" t="s">
        <v>30</v>
      </c>
      <c r="E565" t="s">
        <v>68</v>
      </c>
      <c r="F565" t="s">
        <v>24</v>
      </c>
      <c r="G565" t="s">
        <v>29</v>
      </c>
      <c r="H565">
        <v>14</v>
      </c>
      <c r="I565">
        <v>780.89</v>
      </c>
      <c r="J565">
        <v>544.35</v>
      </c>
      <c r="K565">
        <f t="shared" si="48"/>
        <v>10932.46</v>
      </c>
      <c r="L565">
        <v>0</v>
      </c>
      <c r="M565">
        <f t="shared" si="49"/>
        <v>0</v>
      </c>
      <c r="N565">
        <f t="shared" si="50"/>
        <v>10932.46</v>
      </c>
      <c r="O565">
        <f t="shared" si="51"/>
        <v>7620.9000000000005</v>
      </c>
      <c r="P565">
        <f t="shared" si="52"/>
        <v>3311.5599999999986</v>
      </c>
      <c r="Q565">
        <f t="shared" si="53"/>
        <v>30.29107812880174</v>
      </c>
      <c r="R565" t="s">
        <v>49</v>
      </c>
      <c r="S565" t="s">
        <v>41</v>
      </c>
      <c r="T565">
        <v>5</v>
      </c>
    </row>
    <row r="566" spans="1:20">
      <c r="A566" t="s">
        <v>634</v>
      </c>
      <c r="B566" s="3">
        <v>45708</v>
      </c>
      <c r="C566" t="s">
        <v>21</v>
      </c>
      <c r="D566" t="s">
        <v>32</v>
      </c>
      <c r="E566" t="s">
        <v>68</v>
      </c>
      <c r="F566" t="s">
        <v>24</v>
      </c>
      <c r="G566" t="s">
        <v>29</v>
      </c>
      <c r="H566">
        <v>38</v>
      </c>
      <c r="I566">
        <v>82.56</v>
      </c>
      <c r="J566">
        <v>52</v>
      </c>
      <c r="K566">
        <f t="shared" si="48"/>
        <v>3137.28</v>
      </c>
      <c r="L566">
        <v>0.15</v>
      </c>
      <c r="M566">
        <f t="shared" si="49"/>
        <v>470.59199999999998</v>
      </c>
      <c r="N566">
        <f t="shared" si="50"/>
        <v>2666.6880000000001</v>
      </c>
      <c r="O566">
        <f t="shared" si="51"/>
        <v>1976</v>
      </c>
      <c r="P566">
        <f t="shared" si="52"/>
        <v>690.6880000000001</v>
      </c>
      <c r="Q566">
        <f t="shared" si="53"/>
        <v>25.900592795257644</v>
      </c>
      <c r="R566" t="s">
        <v>49</v>
      </c>
      <c r="S566" t="s">
        <v>43</v>
      </c>
      <c r="T566">
        <v>3.2</v>
      </c>
    </row>
    <row r="567" spans="1:20">
      <c r="A567" t="s">
        <v>635</v>
      </c>
      <c r="B567" s="3">
        <v>45708</v>
      </c>
      <c r="C567" t="s">
        <v>21</v>
      </c>
      <c r="D567" t="s">
        <v>26</v>
      </c>
      <c r="E567" t="s">
        <v>86</v>
      </c>
      <c r="F567" t="s">
        <v>20</v>
      </c>
      <c r="G567" t="s">
        <v>34</v>
      </c>
      <c r="H567">
        <v>10</v>
      </c>
      <c r="I567">
        <v>262.68</v>
      </c>
      <c r="J567">
        <v>118.87</v>
      </c>
      <c r="K567">
        <f t="shared" si="48"/>
        <v>2626.8</v>
      </c>
      <c r="L567">
        <v>0.05</v>
      </c>
      <c r="M567">
        <f t="shared" si="49"/>
        <v>131.34</v>
      </c>
      <c r="N567">
        <f t="shared" si="50"/>
        <v>2495.46</v>
      </c>
      <c r="O567">
        <f t="shared" si="51"/>
        <v>1188.7</v>
      </c>
      <c r="P567">
        <f t="shared" si="52"/>
        <v>1306.76</v>
      </c>
      <c r="Q567">
        <f t="shared" si="53"/>
        <v>52.365495740264322</v>
      </c>
      <c r="R567" t="s">
        <v>49</v>
      </c>
      <c r="S567" t="s">
        <v>45</v>
      </c>
      <c r="T567">
        <v>3.5</v>
      </c>
    </row>
    <row r="568" spans="1:20">
      <c r="A568" t="s">
        <v>636</v>
      </c>
      <c r="B568" s="3">
        <v>45712</v>
      </c>
      <c r="C568" t="s">
        <v>21</v>
      </c>
      <c r="D568" t="s">
        <v>32</v>
      </c>
      <c r="E568" t="s">
        <v>68</v>
      </c>
      <c r="F568" t="s">
        <v>20</v>
      </c>
      <c r="G568" t="s">
        <v>34</v>
      </c>
      <c r="H568">
        <v>19</v>
      </c>
      <c r="I568">
        <v>913.5</v>
      </c>
      <c r="J568">
        <v>458.52</v>
      </c>
      <c r="K568">
        <f t="shared" si="48"/>
        <v>17356.5</v>
      </c>
      <c r="L568">
        <v>0.1</v>
      </c>
      <c r="M568">
        <f t="shared" si="49"/>
        <v>1735.65</v>
      </c>
      <c r="N568">
        <f t="shared" si="50"/>
        <v>15620.85</v>
      </c>
      <c r="O568">
        <f t="shared" si="51"/>
        <v>8711.8799999999992</v>
      </c>
      <c r="P568">
        <f t="shared" si="52"/>
        <v>6908.9700000000012</v>
      </c>
      <c r="Q568">
        <f t="shared" si="53"/>
        <v>44.229155263638035</v>
      </c>
      <c r="R568" t="s">
        <v>49</v>
      </c>
      <c r="S568" t="s">
        <v>43</v>
      </c>
      <c r="T568">
        <v>3.8</v>
      </c>
    </row>
    <row r="569" spans="1:20">
      <c r="A569" t="s">
        <v>637</v>
      </c>
      <c r="B569" s="3">
        <v>45713</v>
      </c>
      <c r="C569" t="s">
        <v>21</v>
      </c>
      <c r="D569" t="s">
        <v>28</v>
      </c>
      <c r="E569" t="s">
        <v>68</v>
      </c>
      <c r="F569" t="s">
        <v>24</v>
      </c>
      <c r="G569" t="s">
        <v>40</v>
      </c>
      <c r="H569">
        <v>3</v>
      </c>
      <c r="I569">
        <v>362.28</v>
      </c>
      <c r="J569">
        <v>221.9</v>
      </c>
      <c r="K569">
        <f t="shared" si="48"/>
        <v>1086.8399999999999</v>
      </c>
      <c r="L569">
        <v>0</v>
      </c>
      <c r="M569">
        <f t="shared" si="49"/>
        <v>0</v>
      </c>
      <c r="N569">
        <f t="shared" si="50"/>
        <v>1086.8399999999999</v>
      </c>
      <c r="O569">
        <f t="shared" si="51"/>
        <v>665.7</v>
      </c>
      <c r="P569">
        <f t="shared" si="52"/>
        <v>421.13999999999987</v>
      </c>
      <c r="Q569">
        <f t="shared" si="53"/>
        <v>38.749033896433687</v>
      </c>
      <c r="R569" t="s">
        <v>49</v>
      </c>
      <c r="S569" t="s">
        <v>43</v>
      </c>
      <c r="T569">
        <v>3.8</v>
      </c>
    </row>
    <row r="570" spans="1:20">
      <c r="A570" t="s">
        <v>638</v>
      </c>
      <c r="B570" s="3">
        <v>45713</v>
      </c>
      <c r="C570" t="s">
        <v>21</v>
      </c>
      <c r="D570" t="s">
        <v>30</v>
      </c>
      <c r="E570" t="s">
        <v>68</v>
      </c>
      <c r="F570" t="s">
        <v>22</v>
      </c>
      <c r="G570" t="s">
        <v>35</v>
      </c>
      <c r="H570">
        <v>6</v>
      </c>
      <c r="I570">
        <v>1385.13</v>
      </c>
      <c r="J570">
        <v>857.63</v>
      </c>
      <c r="K570">
        <f t="shared" si="48"/>
        <v>8310.7800000000007</v>
      </c>
      <c r="L570">
        <v>0.1</v>
      </c>
      <c r="M570">
        <f t="shared" si="49"/>
        <v>831.07800000000009</v>
      </c>
      <c r="N570">
        <f t="shared" si="50"/>
        <v>7479.7020000000002</v>
      </c>
      <c r="O570">
        <f t="shared" si="51"/>
        <v>5145.78</v>
      </c>
      <c r="P570">
        <f t="shared" si="52"/>
        <v>2333.9220000000005</v>
      </c>
      <c r="Q570">
        <f t="shared" si="53"/>
        <v>31.203408905862833</v>
      </c>
      <c r="R570" t="s">
        <v>50</v>
      </c>
      <c r="S570" t="s">
        <v>45</v>
      </c>
      <c r="T570">
        <v>4.8</v>
      </c>
    </row>
    <row r="571" spans="1:20">
      <c r="A571" t="s">
        <v>639</v>
      </c>
      <c r="B571" s="3">
        <v>45713</v>
      </c>
      <c r="C571" t="s">
        <v>21</v>
      </c>
      <c r="D571" t="s">
        <v>30</v>
      </c>
      <c r="E571" t="s">
        <v>86</v>
      </c>
      <c r="F571" t="s">
        <v>20</v>
      </c>
      <c r="G571" t="s">
        <v>31</v>
      </c>
      <c r="H571">
        <v>28</v>
      </c>
      <c r="I571">
        <v>175.64</v>
      </c>
      <c r="J571">
        <v>90.09</v>
      </c>
      <c r="K571">
        <f t="shared" si="48"/>
        <v>4917.92</v>
      </c>
      <c r="L571">
        <v>0.05</v>
      </c>
      <c r="M571">
        <f t="shared" si="49"/>
        <v>245.89600000000002</v>
      </c>
      <c r="N571">
        <f t="shared" si="50"/>
        <v>4672.0240000000003</v>
      </c>
      <c r="O571">
        <f t="shared" si="51"/>
        <v>2522.52</v>
      </c>
      <c r="P571">
        <f t="shared" si="52"/>
        <v>2149.5040000000004</v>
      </c>
      <c r="Q571">
        <f t="shared" si="53"/>
        <v>46.007982835704617</v>
      </c>
      <c r="R571" t="s">
        <v>51</v>
      </c>
      <c r="S571" t="s">
        <v>47</v>
      </c>
      <c r="T571">
        <v>3.9</v>
      </c>
    </row>
    <row r="572" spans="1:20">
      <c r="A572" t="s">
        <v>640</v>
      </c>
      <c r="B572" s="3">
        <v>45713</v>
      </c>
      <c r="C572" t="s">
        <v>21</v>
      </c>
      <c r="D572" t="s">
        <v>28</v>
      </c>
      <c r="E572" t="s">
        <v>68</v>
      </c>
      <c r="F572" t="s">
        <v>20</v>
      </c>
      <c r="G572" t="s">
        <v>31</v>
      </c>
      <c r="H572">
        <v>43</v>
      </c>
      <c r="I572">
        <v>1109.8499999999999</v>
      </c>
      <c r="J572">
        <v>523.29999999999995</v>
      </c>
      <c r="K572">
        <f t="shared" si="48"/>
        <v>47723.549999999996</v>
      </c>
      <c r="L572">
        <v>0.05</v>
      </c>
      <c r="M572">
        <f t="shared" si="49"/>
        <v>2386.1774999999998</v>
      </c>
      <c r="N572">
        <f t="shared" si="50"/>
        <v>45337.372499999998</v>
      </c>
      <c r="O572">
        <f t="shared" si="51"/>
        <v>22501.899999999998</v>
      </c>
      <c r="P572">
        <f t="shared" si="52"/>
        <v>22835.4725</v>
      </c>
      <c r="Q572">
        <f t="shared" si="53"/>
        <v>50.367878067922888</v>
      </c>
      <c r="R572" t="s">
        <v>49</v>
      </c>
      <c r="S572" t="s">
        <v>41</v>
      </c>
      <c r="T572">
        <v>4.3</v>
      </c>
    </row>
    <row r="573" spans="1:20">
      <c r="A573" t="s">
        <v>641</v>
      </c>
      <c r="B573" s="3">
        <v>45713</v>
      </c>
      <c r="C573" t="s">
        <v>21</v>
      </c>
      <c r="D573" t="s">
        <v>32</v>
      </c>
      <c r="E573" t="s">
        <v>70</v>
      </c>
      <c r="F573" t="s">
        <v>23</v>
      </c>
      <c r="G573" t="s">
        <v>38</v>
      </c>
      <c r="H573">
        <v>41</v>
      </c>
      <c r="I573">
        <v>511.73</v>
      </c>
      <c r="J573">
        <v>374.82</v>
      </c>
      <c r="K573">
        <f t="shared" si="48"/>
        <v>20980.93</v>
      </c>
      <c r="L573">
        <v>0</v>
      </c>
      <c r="M573">
        <f t="shared" si="49"/>
        <v>0</v>
      </c>
      <c r="N573">
        <f t="shared" si="50"/>
        <v>20980.93</v>
      </c>
      <c r="O573">
        <f t="shared" si="51"/>
        <v>15367.619999999999</v>
      </c>
      <c r="P573">
        <f t="shared" si="52"/>
        <v>5613.3100000000013</v>
      </c>
      <c r="Q573">
        <f t="shared" si="53"/>
        <v>26.754343110624752</v>
      </c>
      <c r="R573" t="s">
        <v>51</v>
      </c>
      <c r="S573" t="s">
        <v>43</v>
      </c>
      <c r="T573">
        <v>3.3</v>
      </c>
    </row>
    <row r="574" spans="1:20">
      <c r="A574" t="s">
        <v>642</v>
      </c>
      <c r="B574" s="3">
        <v>45714</v>
      </c>
      <c r="C574" t="s">
        <v>21</v>
      </c>
      <c r="D574" t="s">
        <v>28</v>
      </c>
      <c r="E574" t="s">
        <v>68</v>
      </c>
      <c r="F574" t="s">
        <v>20</v>
      </c>
      <c r="G574" t="s">
        <v>31</v>
      </c>
      <c r="H574">
        <v>1</v>
      </c>
      <c r="I574">
        <v>421.45</v>
      </c>
      <c r="J574">
        <v>211.09</v>
      </c>
      <c r="K574">
        <f t="shared" si="48"/>
        <v>421.45</v>
      </c>
      <c r="L574">
        <v>0.1</v>
      </c>
      <c r="M574">
        <f t="shared" si="49"/>
        <v>42.145000000000003</v>
      </c>
      <c r="N574">
        <f t="shared" si="50"/>
        <v>379.30500000000001</v>
      </c>
      <c r="O574">
        <f t="shared" si="51"/>
        <v>211.09</v>
      </c>
      <c r="P574">
        <f t="shared" si="52"/>
        <v>168.215</v>
      </c>
      <c r="Q574">
        <f t="shared" si="53"/>
        <v>44.348215815768313</v>
      </c>
      <c r="R574" t="s">
        <v>49</v>
      </c>
      <c r="S574" t="s">
        <v>45</v>
      </c>
      <c r="T574">
        <v>4</v>
      </c>
    </row>
    <row r="575" spans="1:20">
      <c r="A575" t="s">
        <v>643</v>
      </c>
      <c r="B575" s="3">
        <v>45714</v>
      </c>
      <c r="C575" t="s">
        <v>21</v>
      </c>
      <c r="D575" t="s">
        <v>26</v>
      </c>
      <c r="E575" t="s">
        <v>70</v>
      </c>
      <c r="F575" t="s">
        <v>22</v>
      </c>
      <c r="G575" t="s">
        <v>42</v>
      </c>
      <c r="H575">
        <v>35</v>
      </c>
      <c r="I575">
        <v>381.73</v>
      </c>
      <c r="J575">
        <v>257.89</v>
      </c>
      <c r="K575">
        <f t="shared" si="48"/>
        <v>13360.550000000001</v>
      </c>
      <c r="L575">
        <v>0.2</v>
      </c>
      <c r="M575">
        <f t="shared" si="49"/>
        <v>2672.1100000000006</v>
      </c>
      <c r="N575">
        <f t="shared" si="50"/>
        <v>10688.44</v>
      </c>
      <c r="O575">
        <f t="shared" si="51"/>
        <v>9026.15</v>
      </c>
      <c r="P575">
        <f t="shared" si="52"/>
        <v>1662.2900000000009</v>
      </c>
      <c r="Q575">
        <f t="shared" si="53"/>
        <v>15.552222775260008</v>
      </c>
      <c r="R575" t="s">
        <v>49</v>
      </c>
      <c r="S575" t="s">
        <v>47</v>
      </c>
      <c r="T575">
        <v>5</v>
      </c>
    </row>
    <row r="576" spans="1:20">
      <c r="A576" t="s">
        <v>644</v>
      </c>
      <c r="B576" s="3">
        <v>45715</v>
      </c>
      <c r="C576" t="s">
        <v>21</v>
      </c>
      <c r="D576" t="s">
        <v>30</v>
      </c>
      <c r="E576" t="s">
        <v>70</v>
      </c>
      <c r="F576" t="s">
        <v>23</v>
      </c>
      <c r="G576" t="s">
        <v>38</v>
      </c>
      <c r="H576">
        <v>32</v>
      </c>
      <c r="I576">
        <v>1130.67</v>
      </c>
      <c r="J576">
        <v>814.81</v>
      </c>
      <c r="K576">
        <f t="shared" si="48"/>
        <v>36181.440000000002</v>
      </c>
      <c r="L576">
        <v>0</v>
      </c>
      <c r="M576">
        <f t="shared" si="49"/>
        <v>0</v>
      </c>
      <c r="N576">
        <f t="shared" si="50"/>
        <v>36181.440000000002</v>
      </c>
      <c r="O576">
        <f t="shared" si="51"/>
        <v>26073.919999999998</v>
      </c>
      <c r="P576">
        <f t="shared" si="52"/>
        <v>10107.520000000004</v>
      </c>
      <c r="Q576">
        <f t="shared" si="53"/>
        <v>27.935648774620368</v>
      </c>
      <c r="R576" t="s">
        <v>49</v>
      </c>
      <c r="S576" t="s">
        <v>47</v>
      </c>
      <c r="T576">
        <v>3.1</v>
      </c>
    </row>
    <row r="577" spans="1:20">
      <c r="A577" t="s">
        <v>645</v>
      </c>
      <c r="B577" s="3">
        <v>45715</v>
      </c>
      <c r="C577" t="s">
        <v>21</v>
      </c>
      <c r="D577" t="s">
        <v>30</v>
      </c>
      <c r="E577" t="s">
        <v>68</v>
      </c>
      <c r="F577" t="s">
        <v>22</v>
      </c>
      <c r="G577" t="s">
        <v>33</v>
      </c>
      <c r="H577">
        <v>44</v>
      </c>
      <c r="I577">
        <v>1067.2</v>
      </c>
      <c r="J577">
        <v>651.09</v>
      </c>
      <c r="K577">
        <f t="shared" si="48"/>
        <v>46956.800000000003</v>
      </c>
      <c r="L577">
        <v>0</v>
      </c>
      <c r="M577">
        <f t="shared" si="49"/>
        <v>0</v>
      </c>
      <c r="N577">
        <f t="shared" si="50"/>
        <v>46956.800000000003</v>
      </c>
      <c r="O577">
        <f t="shared" si="51"/>
        <v>28647.960000000003</v>
      </c>
      <c r="P577">
        <f t="shared" si="52"/>
        <v>18308.84</v>
      </c>
      <c r="Q577">
        <f t="shared" si="53"/>
        <v>38.990817091454275</v>
      </c>
      <c r="R577" t="s">
        <v>50</v>
      </c>
      <c r="S577" t="s">
        <v>41</v>
      </c>
      <c r="T577">
        <v>4.5999999999999996</v>
      </c>
    </row>
    <row r="578" spans="1:20">
      <c r="A578" t="s">
        <v>646</v>
      </c>
      <c r="B578" s="3">
        <v>45716</v>
      </c>
      <c r="C578" t="s">
        <v>21</v>
      </c>
      <c r="D578" t="s">
        <v>28</v>
      </c>
      <c r="E578" t="s">
        <v>68</v>
      </c>
      <c r="F578" t="s">
        <v>20</v>
      </c>
      <c r="G578" t="s">
        <v>31</v>
      </c>
      <c r="H578">
        <v>44</v>
      </c>
      <c r="I578">
        <v>505.15</v>
      </c>
      <c r="J578">
        <v>284.52</v>
      </c>
      <c r="K578">
        <f t="shared" ref="K578:K641" si="54">H578*I578</f>
        <v>22226.6</v>
      </c>
      <c r="L578">
        <v>0</v>
      </c>
      <c r="M578">
        <f t="shared" ref="M578:M641" si="55">K578*L578</f>
        <v>0</v>
      </c>
      <c r="N578">
        <f t="shared" ref="N578:N641" si="56">K578-M578</f>
        <v>22226.6</v>
      </c>
      <c r="O578">
        <f t="shared" ref="O578:O641" si="57">H578*J578</f>
        <v>12518.88</v>
      </c>
      <c r="P578">
        <f t="shared" ref="P578:P641" si="58">N578-O578</f>
        <v>9707.7199999999993</v>
      </c>
      <c r="Q578">
        <f t="shared" ref="Q578:Q641" si="59">IFERROR(P578/N578*100,0)</f>
        <v>43.676135801247156</v>
      </c>
      <c r="R578" t="s">
        <v>51</v>
      </c>
      <c r="S578" t="s">
        <v>41</v>
      </c>
      <c r="T578">
        <v>3.7</v>
      </c>
    </row>
    <row r="579" spans="1:20">
      <c r="A579" t="s">
        <v>647</v>
      </c>
      <c r="B579" s="3">
        <v>45716</v>
      </c>
      <c r="C579" t="s">
        <v>21</v>
      </c>
      <c r="D579" t="s">
        <v>26</v>
      </c>
      <c r="E579" t="s">
        <v>68</v>
      </c>
      <c r="F579" t="s">
        <v>20</v>
      </c>
      <c r="G579" t="s">
        <v>34</v>
      </c>
      <c r="H579">
        <v>25</v>
      </c>
      <c r="I579">
        <v>857.61</v>
      </c>
      <c r="J579">
        <v>315.89999999999998</v>
      </c>
      <c r="K579">
        <f t="shared" si="54"/>
        <v>21440.25</v>
      </c>
      <c r="L579">
        <v>0.1</v>
      </c>
      <c r="M579">
        <f t="shared" si="55"/>
        <v>2144.0250000000001</v>
      </c>
      <c r="N579">
        <f t="shared" si="56"/>
        <v>19296.224999999999</v>
      </c>
      <c r="O579">
        <f t="shared" si="57"/>
        <v>7897.4999999999991</v>
      </c>
      <c r="P579">
        <f t="shared" si="58"/>
        <v>11398.724999999999</v>
      </c>
      <c r="Q579">
        <f t="shared" si="59"/>
        <v>59.072305593451567</v>
      </c>
      <c r="R579" t="s">
        <v>50</v>
      </c>
      <c r="S579" t="s">
        <v>43</v>
      </c>
      <c r="T579">
        <v>4.9000000000000004</v>
      </c>
    </row>
    <row r="580" spans="1:20">
      <c r="A580" t="s">
        <v>648</v>
      </c>
      <c r="B580" s="3">
        <v>45716</v>
      </c>
      <c r="C580" t="s">
        <v>21</v>
      </c>
      <c r="D580" t="s">
        <v>28</v>
      </c>
      <c r="E580" t="s">
        <v>86</v>
      </c>
      <c r="F580" t="s">
        <v>22</v>
      </c>
      <c r="G580" t="s">
        <v>42</v>
      </c>
      <c r="H580">
        <v>3</v>
      </c>
      <c r="I580">
        <v>249.68</v>
      </c>
      <c r="J580">
        <v>175.17</v>
      </c>
      <c r="K580">
        <f t="shared" si="54"/>
        <v>749.04</v>
      </c>
      <c r="L580">
        <v>0.1</v>
      </c>
      <c r="M580">
        <f t="shared" si="55"/>
        <v>74.903999999999996</v>
      </c>
      <c r="N580">
        <f t="shared" si="56"/>
        <v>674.13599999999997</v>
      </c>
      <c r="O580">
        <f t="shared" si="57"/>
        <v>525.51</v>
      </c>
      <c r="P580">
        <f t="shared" si="58"/>
        <v>148.62599999999998</v>
      </c>
      <c r="Q580">
        <f t="shared" si="59"/>
        <v>22.046886681619139</v>
      </c>
      <c r="R580" t="s">
        <v>49</v>
      </c>
      <c r="S580" t="s">
        <v>45</v>
      </c>
      <c r="T580">
        <v>4.5</v>
      </c>
    </row>
    <row r="581" spans="1:20">
      <c r="A581" t="s">
        <v>649</v>
      </c>
      <c r="B581" s="3">
        <v>45717</v>
      </c>
      <c r="C581" t="s">
        <v>21</v>
      </c>
      <c r="D581" t="s">
        <v>26</v>
      </c>
      <c r="E581" t="s">
        <v>70</v>
      </c>
      <c r="F581" t="s">
        <v>24</v>
      </c>
      <c r="G581" t="s">
        <v>40</v>
      </c>
      <c r="H581">
        <v>26</v>
      </c>
      <c r="I581">
        <v>1483.86</v>
      </c>
      <c r="J581">
        <v>962.06</v>
      </c>
      <c r="K581">
        <f t="shared" si="54"/>
        <v>38580.36</v>
      </c>
      <c r="L581">
        <v>0.05</v>
      </c>
      <c r="M581">
        <f t="shared" si="55"/>
        <v>1929.018</v>
      </c>
      <c r="N581">
        <f t="shared" si="56"/>
        <v>36651.342000000004</v>
      </c>
      <c r="O581">
        <f t="shared" si="57"/>
        <v>25013.559999999998</v>
      </c>
      <c r="P581">
        <f t="shared" si="58"/>
        <v>11637.782000000007</v>
      </c>
      <c r="Q581">
        <f t="shared" si="59"/>
        <v>31.752676341291963</v>
      </c>
      <c r="R581" t="s">
        <v>50</v>
      </c>
      <c r="S581" t="s">
        <v>43</v>
      </c>
      <c r="T581">
        <v>4</v>
      </c>
    </row>
    <row r="582" spans="1:20">
      <c r="A582" t="s">
        <v>650</v>
      </c>
      <c r="B582" s="3">
        <v>45719</v>
      </c>
      <c r="C582" t="s">
        <v>21</v>
      </c>
      <c r="D582" t="s">
        <v>26</v>
      </c>
      <c r="E582" t="s">
        <v>86</v>
      </c>
      <c r="F582" t="s">
        <v>20</v>
      </c>
      <c r="G582" t="s">
        <v>31</v>
      </c>
      <c r="H582">
        <v>10</v>
      </c>
      <c r="I582">
        <v>95.36</v>
      </c>
      <c r="J582">
        <v>46.27</v>
      </c>
      <c r="K582">
        <f t="shared" si="54"/>
        <v>953.6</v>
      </c>
      <c r="L582">
        <v>0</v>
      </c>
      <c r="M582">
        <f t="shared" si="55"/>
        <v>0</v>
      </c>
      <c r="N582">
        <f t="shared" si="56"/>
        <v>953.6</v>
      </c>
      <c r="O582">
        <f t="shared" si="57"/>
        <v>462.70000000000005</v>
      </c>
      <c r="P582">
        <f t="shared" si="58"/>
        <v>490.9</v>
      </c>
      <c r="Q582">
        <f t="shared" si="59"/>
        <v>51.478607382550337</v>
      </c>
      <c r="R582" t="s">
        <v>49</v>
      </c>
      <c r="S582" t="s">
        <v>43</v>
      </c>
      <c r="T582">
        <v>3.9</v>
      </c>
    </row>
    <row r="583" spans="1:20">
      <c r="A583" t="s">
        <v>651</v>
      </c>
      <c r="B583" s="3">
        <v>45720</v>
      </c>
      <c r="C583" t="s">
        <v>21</v>
      </c>
      <c r="D583" t="s">
        <v>28</v>
      </c>
      <c r="E583" t="s">
        <v>68</v>
      </c>
      <c r="F583" t="s">
        <v>20</v>
      </c>
      <c r="G583" t="s">
        <v>36</v>
      </c>
      <c r="H583">
        <v>16</v>
      </c>
      <c r="I583">
        <v>1061.3599999999999</v>
      </c>
      <c r="J583">
        <v>376.77</v>
      </c>
      <c r="K583">
        <f t="shared" si="54"/>
        <v>16981.759999999998</v>
      </c>
      <c r="L583">
        <v>0</v>
      </c>
      <c r="M583">
        <f t="shared" si="55"/>
        <v>0</v>
      </c>
      <c r="N583">
        <f t="shared" si="56"/>
        <v>16981.759999999998</v>
      </c>
      <c r="O583">
        <f t="shared" si="57"/>
        <v>6028.32</v>
      </c>
      <c r="P583">
        <f t="shared" si="58"/>
        <v>10953.439999999999</v>
      </c>
      <c r="Q583">
        <f t="shared" si="59"/>
        <v>64.501205999849248</v>
      </c>
      <c r="R583" t="s">
        <v>51</v>
      </c>
      <c r="S583" t="s">
        <v>45</v>
      </c>
      <c r="T583">
        <v>3.2</v>
      </c>
    </row>
    <row r="584" spans="1:20">
      <c r="A584" t="s">
        <v>652</v>
      </c>
      <c r="B584" s="3">
        <v>45720</v>
      </c>
      <c r="C584" t="s">
        <v>21</v>
      </c>
      <c r="D584" t="s">
        <v>30</v>
      </c>
      <c r="E584" t="s">
        <v>70</v>
      </c>
      <c r="F584" t="s">
        <v>20</v>
      </c>
      <c r="G584" t="s">
        <v>36</v>
      </c>
      <c r="H584">
        <v>10</v>
      </c>
      <c r="I584">
        <v>547.33000000000004</v>
      </c>
      <c r="J584">
        <v>260.99</v>
      </c>
      <c r="K584">
        <f t="shared" si="54"/>
        <v>5473.3</v>
      </c>
      <c r="L584">
        <v>0.05</v>
      </c>
      <c r="M584">
        <f t="shared" si="55"/>
        <v>273.66500000000002</v>
      </c>
      <c r="N584">
        <f t="shared" si="56"/>
        <v>5199.6350000000002</v>
      </c>
      <c r="O584">
        <f t="shared" si="57"/>
        <v>2609.9</v>
      </c>
      <c r="P584">
        <f t="shared" si="58"/>
        <v>2589.7350000000001</v>
      </c>
      <c r="Q584">
        <f t="shared" si="59"/>
        <v>49.806092158391884</v>
      </c>
      <c r="R584" t="s">
        <v>50</v>
      </c>
      <c r="S584" t="s">
        <v>41</v>
      </c>
      <c r="T584">
        <v>4.5</v>
      </c>
    </row>
    <row r="585" spans="1:20">
      <c r="A585" t="s">
        <v>653</v>
      </c>
      <c r="B585" s="3">
        <v>45721</v>
      </c>
      <c r="C585" t="s">
        <v>21</v>
      </c>
      <c r="D585" t="s">
        <v>30</v>
      </c>
      <c r="E585" t="s">
        <v>70</v>
      </c>
      <c r="F585" t="s">
        <v>20</v>
      </c>
      <c r="G585" t="s">
        <v>34</v>
      </c>
      <c r="H585">
        <v>4</v>
      </c>
      <c r="I585">
        <v>1085.3</v>
      </c>
      <c r="J585">
        <v>561.98</v>
      </c>
      <c r="K585">
        <f t="shared" si="54"/>
        <v>4341.2</v>
      </c>
      <c r="L585">
        <v>0.05</v>
      </c>
      <c r="M585">
        <f t="shared" si="55"/>
        <v>217.06</v>
      </c>
      <c r="N585">
        <f t="shared" si="56"/>
        <v>4124.1399999999994</v>
      </c>
      <c r="O585">
        <f t="shared" si="57"/>
        <v>2247.92</v>
      </c>
      <c r="P585">
        <f t="shared" si="58"/>
        <v>1876.2199999999993</v>
      </c>
      <c r="Q585">
        <f t="shared" si="59"/>
        <v>45.493605939662565</v>
      </c>
      <c r="R585" t="s">
        <v>49</v>
      </c>
      <c r="S585" t="s">
        <v>47</v>
      </c>
      <c r="T585">
        <v>4.2</v>
      </c>
    </row>
    <row r="586" spans="1:20">
      <c r="A586" t="s">
        <v>654</v>
      </c>
      <c r="B586" s="3">
        <v>45722</v>
      </c>
      <c r="C586" t="s">
        <v>21</v>
      </c>
      <c r="D586" t="s">
        <v>26</v>
      </c>
      <c r="E586" t="s">
        <v>70</v>
      </c>
      <c r="F586" t="s">
        <v>24</v>
      </c>
      <c r="G586" t="s">
        <v>46</v>
      </c>
      <c r="H586">
        <v>15</v>
      </c>
      <c r="I586">
        <v>911.51</v>
      </c>
      <c r="J586">
        <v>522.59</v>
      </c>
      <c r="K586">
        <f t="shared" si="54"/>
        <v>13672.65</v>
      </c>
      <c r="L586">
        <v>0.25</v>
      </c>
      <c r="M586">
        <f t="shared" si="55"/>
        <v>3418.1624999999999</v>
      </c>
      <c r="N586">
        <f t="shared" si="56"/>
        <v>10254.487499999999</v>
      </c>
      <c r="O586">
        <f t="shared" si="57"/>
        <v>7838.85</v>
      </c>
      <c r="P586">
        <f t="shared" si="58"/>
        <v>2415.6374999999989</v>
      </c>
      <c r="Q586">
        <f t="shared" si="59"/>
        <v>23.556881804185721</v>
      </c>
      <c r="R586" t="s">
        <v>50</v>
      </c>
      <c r="S586" t="s">
        <v>41</v>
      </c>
      <c r="T586">
        <v>4.0999999999999996</v>
      </c>
    </row>
    <row r="587" spans="1:20">
      <c r="A587" t="s">
        <v>655</v>
      </c>
      <c r="B587" s="3">
        <v>45723</v>
      </c>
      <c r="C587" t="s">
        <v>21</v>
      </c>
      <c r="D587" t="s">
        <v>26</v>
      </c>
      <c r="E587" t="s">
        <v>86</v>
      </c>
      <c r="F587" t="s">
        <v>24</v>
      </c>
      <c r="G587" t="s">
        <v>46</v>
      </c>
      <c r="H587">
        <v>38</v>
      </c>
      <c r="I587">
        <v>902.44</v>
      </c>
      <c r="J587">
        <v>588.36</v>
      </c>
      <c r="K587">
        <f t="shared" si="54"/>
        <v>34292.720000000001</v>
      </c>
      <c r="L587">
        <v>0</v>
      </c>
      <c r="M587">
        <f t="shared" si="55"/>
        <v>0</v>
      </c>
      <c r="N587">
        <f t="shared" si="56"/>
        <v>34292.720000000001</v>
      </c>
      <c r="O587">
        <f t="shared" si="57"/>
        <v>22357.68</v>
      </c>
      <c r="P587">
        <f t="shared" si="58"/>
        <v>11935.04</v>
      </c>
      <c r="Q587">
        <f t="shared" si="59"/>
        <v>34.803421834138561</v>
      </c>
      <c r="R587" t="s">
        <v>50</v>
      </c>
      <c r="S587" t="s">
        <v>41</v>
      </c>
      <c r="T587">
        <v>4.0999999999999996</v>
      </c>
    </row>
    <row r="588" spans="1:20">
      <c r="A588" t="s">
        <v>656</v>
      </c>
      <c r="B588" s="3">
        <v>45724</v>
      </c>
      <c r="C588" t="s">
        <v>21</v>
      </c>
      <c r="D588" t="s">
        <v>26</v>
      </c>
      <c r="E588" t="s">
        <v>68</v>
      </c>
      <c r="F588" t="s">
        <v>22</v>
      </c>
      <c r="G588" t="s">
        <v>33</v>
      </c>
      <c r="H588">
        <v>41</v>
      </c>
      <c r="I588">
        <v>1448.88</v>
      </c>
      <c r="J588">
        <v>1137.1199999999999</v>
      </c>
      <c r="K588">
        <f t="shared" si="54"/>
        <v>59404.08</v>
      </c>
      <c r="L588">
        <v>0.1</v>
      </c>
      <c r="M588">
        <f t="shared" si="55"/>
        <v>5940.4080000000004</v>
      </c>
      <c r="N588">
        <f t="shared" si="56"/>
        <v>53463.671999999999</v>
      </c>
      <c r="O588">
        <f t="shared" si="57"/>
        <v>46621.919999999998</v>
      </c>
      <c r="P588">
        <f t="shared" si="58"/>
        <v>6841.7520000000004</v>
      </c>
      <c r="Q588">
        <f t="shared" si="59"/>
        <v>12.797011024607514</v>
      </c>
      <c r="R588" t="s">
        <v>49</v>
      </c>
      <c r="S588" t="s">
        <v>43</v>
      </c>
      <c r="T588">
        <v>3.1</v>
      </c>
    </row>
    <row r="589" spans="1:20">
      <c r="A589" t="s">
        <v>657</v>
      </c>
      <c r="B589" s="3">
        <v>45725</v>
      </c>
      <c r="C589" t="s">
        <v>21</v>
      </c>
      <c r="D589" t="s">
        <v>26</v>
      </c>
      <c r="E589" t="s">
        <v>68</v>
      </c>
      <c r="F589" t="s">
        <v>23</v>
      </c>
      <c r="G589" t="s">
        <v>44</v>
      </c>
      <c r="H589">
        <v>20</v>
      </c>
      <c r="I589">
        <v>1045.82</v>
      </c>
      <c r="J589">
        <v>868.73</v>
      </c>
      <c r="K589">
        <f t="shared" si="54"/>
        <v>20916.399999999998</v>
      </c>
      <c r="L589">
        <v>0.05</v>
      </c>
      <c r="M589">
        <f t="shared" si="55"/>
        <v>1045.82</v>
      </c>
      <c r="N589">
        <f t="shared" si="56"/>
        <v>19870.579999999998</v>
      </c>
      <c r="O589">
        <f t="shared" si="57"/>
        <v>17374.599999999999</v>
      </c>
      <c r="P589">
        <f t="shared" si="58"/>
        <v>2495.9799999999996</v>
      </c>
      <c r="Q589">
        <f t="shared" si="59"/>
        <v>12.561183417897212</v>
      </c>
      <c r="R589" t="s">
        <v>50</v>
      </c>
      <c r="S589" t="s">
        <v>45</v>
      </c>
      <c r="T589">
        <v>3.1</v>
      </c>
    </row>
    <row r="590" spans="1:20">
      <c r="A590" t="s">
        <v>658</v>
      </c>
      <c r="B590" s="3">
        <v>45727</v>
      </c>
      <c r="C590" t="s">
        <v>21</v>
      </c>
      <c r="D590" t="s">
        <v>28</v>
      </c>
      <c r="E590" t="s">
        <v>70</v>
      </c>
      <c r="F590" t="s">
        <v>23</v>
      </c>
      <c r="G590" t="s">
        <v>38</v>
      </c>
      <c r="H590">
        <v>10</v>
      </c>
      <c r="I590">
        <v>499.45</v>
      </c>
      <c r="J590">
        <v>414.94</v>
      </c>
      <c r="K590">
        <f t="shared" si="54"/>
        <v>4994.5</v>
      </c>
      <c r="L590">
        <v>0.05</v>
      </c>
      <c r="M590">
        <f t="shared" si="55"/>
        <v>249.72500000000002</v>
      </c>
      <c r="N590">
        <f t="shared" si="56"/>
        <v>4744.7749999999996</v>
      </c>
      <c r="O590">
        <f t="shared" si="57"/>
        <v>4149.3999999999996</v>
      </c>
      <c r="P590">
        <f t="shared" si="58"/>
        <v>595.375</v>
      </c>
      <c r="Q590">
        <f t="shared" si="59"/>
        <v>12.548013340990879</v>
      </c>
      <c r="R590" t="s">
        <v>49</v>
      </c>
      <c r="S590" t="s">
        <v>41</v>
      </c>
      <c r="T590">
        <v>3.3</v>
      </c>
    </row>
    <row r="591" spans="1:20">
      <c r="A591" t="s">
        <v>659</v>
      </c>
      <c r="B591" s="3">
        <v>45727</v>
      </c>
      <c r="C591" t="s">
        <v>21</v>
      </c>
      <c r="D591" t="s">
        <v>26</v>
      </c>
      <c r="E591" t="s">
        <v>70</v>
      </c>
      <c r="F591" t="s">
        <v>22</v>
      </c>
      <c r="G591" t="s">
        <v>42</v>
      </c>
      <c r="H591">
        <v>10</v>
      </c>
      <c r="I591">
        <v>994.25</v>
      </c>
      <c r="J591">
        <v>765.19</v>
      </c>
      <c r="K591">
        <f t="shared" si="54"/>
        <v>9942.5</v>
      </c>
      <c r="L591">
        <v>0.1</v>
      </c>
      <c r="M591">
        <f t="shared" si="55"/>
        <v>994.25</v>
      </c>
      <c r="N591">
        <f t="shared" si="56"/>
        <v>8948.25</v>
      </c>
      <c r="O591">
        <f t="shared" si="57"/>
        <v>7651.9000000000005</v>
      </c>
      <c r="P591">
        <f t="shared" si="58"/>
        <v>1296.3499999999995</v>
      </c>
      <c r="Q591">
        <f t="shared" si="59"/>
        <v>14.487190232727063</v>
      </c>
      <c r="R591" t="s">
        <v>50</v>
      </c>
      <c r="S591" t="s">
        <v>41</v>
      </c>
      <c r="T591">
        <v>5</v>
      </c>
    </row>
    <row r="592" spans="1:20">
      <c r="A592" t="s">
        <v>660</v>
      </c>
      <c r="B592" s="3">
        <v>45727</v>
      </c>
      <c r="C592" t="s">
        <v>21</v>
      </c>
      <c r="D592" t="s">
        <v>32</v>
      </c>
      <c r="E592" t="s">
        <v>68</v>
      </c>
      <c r="F592" t="s">
        <v>22</v>
      </c>
      <c r="G592" t="s">
        <v>42</v>
      </c>
      <c r="H592">
        <v>15</v>
      </c>
      <c r="I592">
        <v>742</v>
      </c>
      <c r="J592">
        <v>573</v>
      </c>
      <c r="K592">
        <f t="shared" si="54"/>
        <v>11130</v>
      </c>
      <c r="L592">
        <v>0.1</v>
      </c>
      <c r="M592">
        <f t="shared" si="55"/>
        <v>1113</v>
      </c>
      <c r="N592">
        <f t="shared" si="56"/>
        <v>10017</v>
      </c>
      <c r="O592">
        <f t="shared" si="57"/>
        <v>8595</v>
      </c>
      <c r="P592">
        <f t="shared" si="58"/>
        <v>1422</v>
      </c>
      <c r="Q592">
        <f t="shared" si="59"/>
        <v>14.195867026055705</v>
      </c>
      <c r="R592" t="s">
        <v>50</v>
      </c>
      <c r="S592" t="s">
        <v>47</v>
      </c>
      <c r="T592">
        <v>3.3</v>
      </c>
    </row>
    <row r="593" spans="1:20">
      <c r="A593" t="s">
        <v>661</v>
      </c>
      <c r="B593" s="3">
        <v>45728</v>
      </c>
      <c r="C593" t="s">
        <v>21</v>
      </c>
      <c r="D593" t="s">
        <v>32</v>
      </c>
      <c r="E593" t="s">
        <v>68</v>
      </c>
      <c r="F593" t="s">
        <v>22</v>
      </c>
      <c r="G593" t="s">
        <v>33</v>
      </c>
      <c r="H593">
        <v>28</v>
      </c>
      <c r="I593">
        <v>1237.67</v>
      </c>
      <c r="J593">
        <v>831.5</v>
      </c>
      <c r="K593">
        <f t="shared" si="54"/>
        <v>34654.76</v>
      </c>
      <c r="L593">
        <v>0.25</v>
      </c>
      <c r="M593">
        <f t="shared" si="55"/>
        <v>8663.69</v>
      </c>
      <c r="N593">
        <f t="shared" si="56"/>
        <v>25991.07</v>
      </c>
      <c r="O593">
        <f t="shared" si="57"/>
        <v>23282</v>
      </c>
      <c r="P593">
        <f t="shared" si="58"/>
        <v>2709.0699999999997</v>
      </c>
      <c r="Q593">
        <f t="shared" si="59"/>
        <v>10.423079927067256</v>
      </c>
      <c r="R593" t="s">
        <v>50</v>
      </c>
      <c r="S593" t="s">
        <v>41</v>
      </c>
      <c r="T593">
        <v>4.3</v>
      </c>
    </row>
    <row r="594" spans="1:20">
      <c r="A594" t="s">
        <v>662</v>
      </c>
      <c r="B594" s="3">
        <v>45728</v>
      </c>
      <c r="C594" t="s">
        <v>21</v>
      </c>
      <c r="D594" t="s">
        <v>30</v>
      </c>
      <c r="E594" t="s">
        <v>68</v>
      </c>
      <c r="F594" t="s">
        <v>24</v>
      </c>
      <c r="G594" t="s">
        <v>29</v>
      </c>
      <c r="H594">
        <v>15</v>
      </c>
      <c r="I594">
        <v>129.05000000000001</v>
      </c>
      <c r="J594">
        <v>85.64</v>
      </c>
      <c r="K594">
        <f t="shared" si="54"/>
        <v>1935.7500000000002</v>
      </c>
      <c r="L594">
        <v>0</v>
      </c>
      <c r="M594">
        <f t="shared" si="55"/>
        <v>0</v>
      </c>
      <c r="N594">
        <f t="shared" si="56"/>
        <v>1935.7500000000002</v>
      </c>
      <c r="O594">
        <f t="shared" si="57"/>
        <v>1284.5999999999999</v>
      </c>
      <c r="P594">
        <f t="shared" si="58"/>
        <v>651.15000000000032</v>
      </c>
      <c r="Q594">
        <f t="shared" si="59"/>
        <v>33.638124757845809</v>
      </c>
      <c r="R594" t="s">
        <v>50</v>
      </c>
      <c r="S594" t="s">
        <v>43</v>
      </c>
      <c r="T594">
        <v>3.4</v>
      </c>
    </row>
    <row r="595" spans="1:20">
      <c r="A595" t="s">
        <v>663</v>
      </c>
      <c r="B595" s="3">
        <v>45731</v>
      </c>
      <c r="C595" t="s">
        <v>21</v>
      </c>
      <c r="D595" t="s">
        <v>32</v>
      </c>
      <c r="E595" t="s">
        <v>68</v>
      </c>
      <c r="F595" t="s">
        <v>22</v>
      </c>
      <c r="G595" t="s">
        <v>35</v>
      </c>
      <c r="H595">
        <v>16</v>
      </c>
      <c r="I595">
        <v>466.56</v>
      </c>
      <c r="J595">
        <v>340.99</v>
      </c>
      <c r="K595">
        <f t="shared" si="54"/>
        <v>7464.96</v>
      </c>
      <c r="L595">
        <v>0</v>
      </c>
      <c r="M595">
        <f t="shared" si="55"/>
        <v>0</v>
      </c>
      <c r="N595">
        <f t="shared" si="56"/>
        <v>7464.96</v>
      </c>
      <c r="O595">
        <f t="shared" si="57"/>
        <v>5455.84</v>
      </c>
      <c r="P595">
        <f t="shared" si="58"/>
        <v>2009.12</v>
      </c>
      <c r="Q595">
        <f t="shared" si="59"/>
        <v>26.914008916323727</v>
      </c>
      <c r="R595" t="s">
        <v>50</v>
      </c>
      <c r="S595" t="s">
        <v>43</v>
      </c>
      <c r="T595">
        <v>4.8</v>
      </c>
    </row>
    <row r="596" spans="1:20">
      <c r="A596" t="s">
        <v>664</v>
      </c>
      <c r="B596" s="3">
        <v>45731</v>
      </c>
      <c r="C596" t="s">
        <v>21</v>
      </c>
      <c r="D596" t="s">
        <v>26</v>
      </c>
      <c r="E596" t="s">
        <v>68</v>
      </c>
      <c r="F596" t="s">
        <v>23</v>
      </c>
      <c r="G596" t="s">
        <v>38</v>
      </c>
      <c r="H596">
        <v>29</v>
      </c>
      <c r="I596">
        <v>167.09</v>
      </c>
      <c r="J596">
        <v>119.55</v>
      </c>
      <c r="K596">
        <f t="shared" si="54"/>
        <v>4845.6099999999997</v>
      </c>
      <c r="L596">
        <v>0.1</v>
      </c>
      <c r="M596">
        <f t="shared" si="55"/>
        <v>484.56099999999998</v>
      </c>
      <c r="N596">
        <f t="shared" si="56"/>
        <v>4361.049</v>
      </c>
      <c r="O596">
        <f t="shared" si="57"/>
        <v>3466.95</v>
      </c>
      <c r="P596">
        <f t="shared" si="58"/>
        <v>894.09900000000016</v>
      </c>
      <c r="Q596">
        <f t="shared" si="59"/>
        <v>20.501925110220046</v>
      </c>
      <c r="R596" t="s">
        <v>49</v>
      </c>
      <c r="S596" t="s">
        <v>43</v>
      </c>
      <c r="T596">
        <v>3.2</v>
      </c>
    </row>
    <row r="597" spans="1:20">
      <c r="A597" t="s">
        <v>665</v>
      </c>
      <c r="B597" s="3">
        <v>45732</v>
      </c>
      <c r="C597" t="s">
        <v>21</v>
      </c>
      <c r="D597" t="s">
        <v>30</v>
      </c>
      <c r="E597" t="s">
        <v>70</v>
      </c>
      <c r="F597" t="s">
        <v>22</v>
      </c>
      <c r="G597" t="s">
        <v>33</v>
      </c>
      <c r="H597">
        <v>26</v>
      </c>
      <c r="I597">
        <v>1181.81</v>
      </c>
      <c r="J597">
        <v>833.42</v>
      </c>
      <c r="K597">
        <f t="shared" si="54"/>
        <v>30727.059999999998</v>
      </c>
      <c r="L597">
        <v>0.05</v>
      </c>
      <c r="M597">
        <f t="shared" si="55"/>
        <v>1536.3530000000001</v>
      </c>
      <c r="N597">
        <f t="shared" si="56"/>
        <v>29190.706999999999</v>
      </c>
      <c r="O597">
        <f t="shared" si="57"/>
        <v>21668.92</v>
      </c>
      <c r="P597">
        <f t="shared" si="58"/>
        <v>7521.7870000000003</v>
      </c>
      <c r="Q597">
        <f t="shared" si="59"/>
        <v>25.767745193701547</v>
      </c>
      <c r="R597" t="s">
        <v>50</v>
      </c>
      <c r="S597" t="s">
        <v>43</v>
      </c>
      <c r="T597">
        <v>4.9000000000000004</v>
      </c>
    </row>
    <row r="598" spans="1:20">
      <c r="A598" t="s">
        <v>666</v>
      </c>
      <c r="B598" s="3">
        <v>45733</v>
      </c>
      <c r="C598" t="s">
        <v>21</v>
      </c>
      <c r="D598" t="s">
        <v>32</v>
      </c>
      <c r="E598" t="s">
        <v>70</v>
      </c>
      <c r="F598" t="s">
        <v>22</v>
      </c>
      <c r="G598" t="s">
        <v>35</v>
      </c>
      <c r="H598">
        <v>30</v>
      </c>
      <c r="I598">
        <v>1365.78</v>
      </c>
      <c r="J598">
        <v>910.28</v>
      </c>
      <c r="K598">
        <f t="shared" si="54"/>
        <v>40973.4</v>
      </c>
      <c r="L598">
        <v>0</v>
      </c>
      <c r="M598">
        <f t="shared" si="55"/>
        <v>0</v>
      </c>
      <c r="N598">
        <f t="shared" si="56"/>
        <v>40973.4</v>
      </c>
      <c r="O598">
        <f t="shared" si="57"/>
        <v>27308.399999999998</v>
      </c>
      <c r="P598">
        <f t="shared" si="58"/>
        <v>13665.000000000004</v>
      </c>
      <c r="Q598">
        <f t="shared" si="59"/>
        <v>33.350905709557914</v>
      </c>
      <c r="R598" t="s">
        <v>49</v>
      </c>
      <c r="S598" t="s">
        <v>41</v>
      </c>
      <c r="T598">
        <v>3.9</v>
      </c>
    </row>
    <row r="599" spans="1:20">
      <c r="A599" t="s">
        <v>667</v>
      </c>
      <c r="B599" s="3">
        <v>45733</v>
      </c>
      <c r="C599" t="s">
        <v>21</v>
      </c>
      <c r="D599" t="s">
        <v>26</v>
      </c>
      <c r="E599" t="s">
        <v>68</v>
      </c>
      <c r="F599" t="s">
        <v>22</v>
      </c>
      <c r="G599" t="s">
        <v>35</v>
      </c>
      <c r="H599">
        <v>37</v>
      </c>
      <c r="I599">
        <v>1032.73</v>
      </c>
      <c r="J599">
        <v>790.59</v>
      </c>
      <c r="K599">
        <f t="shared" si="54"/>
        <v>38211.01</v>
      </c>
      <c r="L599">
        <v>0</v>
      </c>
      <c r="M599">
        <f t="shared" si="55"/>
        <v>0</v>
      </c>
      <c r="N599">
        <f t="shared" si="56"/>
        <v>38211.01</v>
      </c>
      <c r="O599">
        <f t="shared" si="57"/>
        <v>29251.83</v>
      </c>
      <c r="P599">
        <f t="shared" si="58"/>
        <v>8959.18</v>
      </c>
      <c r="Q599">
        <f t="shared" si="59"/>
        <v>23.446593010757894</v>
      </c>
      <c r="R599" t="s">
        <v>49</v>
      </c>
      <c r="S599" t="s">
        <v>43</v>
      </c>
      <c r="T599">
        <v>3.5</v>
      </c>
    </row>
    <row r="600" spans="1:20">
      <c r="A600" t="s">
        <v>668</v>
      </c>
      <c r="B600" s="3">
        <v>45733</v>
      </c>
      <c r="C600" t="s">
        <v>21</v>
      </c>
      <c r="D600" t="s">
        <v>32</v>
      </c>
      <c r="E600" t="s">
        <v>68</v>
      </c>
      <c r="F600" t="s">
        <v>20</v>
      </c>
      <c r="G600" t="s">
        <v>31</v>
      </c>
      <c r="H600">
        <v>46</v>
      </c>
      <c r="I600">
        <v>540.08000000000004</v>
      </c>
      <c r="J600">
        <v>298.08999999999997</v>
      </c>
      <c r="K600">
        <f t="shared" si="54"/>
        <v>24843.68</v>
      </c>
      <c r="L600">
        <v>0</v>
      </c>
      <c r="M600">
        <f t="shared" si="55"/>
        <v>0</v>
      </c>
      <c r="N600">
        <f t="shared" si="56"/>
        <v>24843.68</v>
      </c>
      <c r="O600">
        <f t="shared" si="57"/>
        <v>13712.14</v>
      </c>
      <c r="P600">
        <f t="shared" si="58"/>
        <v>11131.54</v>
      </c>
      <c r="Q600">
        <f t="shared" si="59"/>
        <v>44.806324988890537</v>
      </c>
      <c r="R600" t="s">
        <v>49</v>
      </c>
      <c r="S600" t="s">
        <v>41</v>
      </c>
      <c r="T600">
        <v>3.4</v>
      </c>
    </row>
    <row r="601" spans="1:20">
      <c r="A601" t="s">
        <v>669</v>
      </c>
      <c r="B601" s="3">
        <v>45734</v>
      </c>
      <c r="C601" t="s">
        <v>21</v>
      </c>
      <c r="D601" t="s">
        <v>26</v>
      </c>
      <c r="E601" t="s">
        <v>68</v>
      </c>
      <c r="F601" t="s">
        <v>23</v>
      </c>
      <c r="G601" t="s">
        <v>37</v>
      </c>
      <c r="H601">
        <v>13</v>
      </c>
      <c r="I601">
        <v>732.1</v>
      </c>
      <c r="J601">
        <v>617.79999999999995</v>
      </c>
      <c r="K601">
        <f t="shared" si="54"/>
        <v>9517.3000000000011</v>
      </c>
      <c r="L601">
        <v>0.2</v>
      </c>
      <c r="M601">
        <f t="shared" si="55"/>
        <v>1903.4600000000003</v>
      </c>
      <c r="N601">
        <f t="shared" si="56"/>
        <v>7613.8400000000011</v>
      </c>
      <c r="O601">
        <f t="shared" si="57"/>
        <v>8031.4</v>
      </c>
      <c r="P601">
        <f t="shared" si="58"/>
        <v>-417.55999999999858</v>
      </c>
      <c r="Q601">
        <f t="shared" si="59"/>
        <v>-5.4842234667394969</v>
      </c>
      <c r="R601" t="s">
        <v>49</v>
      </c>
      <c r="S601" t="s">
        <v>43</v>
      </c>
      <c r="T601">
        <v>4.8</v>
      </c>
    </row>
    <row r="602" spans="1:20">
      <c r="A602" t="s">
        <v>670</v>
      </c>
      <c r="B602" s="3">
        <v>45735</v>
      </c>
      <c r="C602" t="s">
        <v>21</v>
      </c>
      <c r="D602" t="s">
        <v>32</v>
      </c>
      <c r="E602" t="s">
        <v>68</v>
      </c>
      <c r="F602" t="s">
        <v>23</v>
      </c>
      <c r="G602" t="s">
        <v>38</v>
      </c>
      <c r="H602">
        <v>8</v>
      </c>
      <c r="I602">
        <v>834.1</v>
      </c>
      <c r="J602">
        <v>687.85</v>
      </c>
      <c r="K602">
        <f t="shared" si="54"/>
        <v>6672.8</v>
      </c>
      <c r="L602">
        <v>0</v>
      </c>
      <c r="M602">
        <f t="shared" si="55"/>
        <v>0</v>
      </c>
      <c r="N602">
        <f t="shared" si="56"/>
        <v>6672.8</v>
      </c>
      <c r="O602">
        <f t="shared" si="57"/>
        <v>5502.8</v>
      </c>
      <c r="P602">
        <f t="shared" si="58"/>
        <v>1170</v>
      </c>
      <c r="Q602">
        <f t="shared" si="59"/>
        <v>17.533868840666585</v>
      </c>
      <c r="R602" t="s">
        <v>50</v>
      </c>
      <c r="S602" t="s">
        <v>41</v>
      </c>
      <c r="T602">
        <v>4.0999999999999996</v>
      </c>
    </row>
    <row r="603" spans="1:20">
      <c r="A603" t="s">
        <v>671</v>
      </c>
      <c r="B603" s="3">
        <v>45735</v>
      </c>
      <c r="C603" t="s">
        <v>21</v>
      </c>
      <c r="D603" t="s">
        <v>28</v>
      </c>
      <c r="E603" t="s">
        <v>70</v>
      </c>
      <c r="F603" t="s">
        <v>20</v>
      </c>
      <c r="G603" t="s">
        <v>36</v>
      </c>
      <c r="H603">
        <v>49</v>
      </c>
      <c r="I603">
        <v>1350.79</v>
      </c>
      <c r="J603">
        <v>716.39</v>
      </c>
      <c r="K603">
        <f t="shared" si="54"/>
        <v>66188.709999999992</v>
      </c>
      <c r="L603">
        <v>0</v>
      </c>
      <c r="M603">
        <f t="shared" si="55"/>
        <v>0</v>
      </c>
      <c r="N603">
        <f t="shared" si="56"/>
        <v>66188.709999999992</v>
      </c>
      <c r="O603">
        <f t="shared" si="57"/>
        <v>35103.11</v>
      </c>
      <c r="P603">
        <f t="shared" si="58"/>
        <v>31085.599999999991</v>
      </c>
      <c r="Q603">
        <f t="shared" si="59"/>
        <v>46.965109306405871</v>
      </c>
      <c r="R603" t="s">
        <v>49</v>
      </c>
      <c r="S603" t="s">
        <v>43</v>
      </c>
      <c r="T603">
        <v>3.1</v>
      </c>
    </row>
    <row r="604" spans="1:20">
      <c r="A604" t="s">
        <v>672</v>
      </c>
      <c r="B604" s="3">
        <v>45735</v>
      </c>
      <c r="C604" t="s">
        <v>21</v>
      </c>
      <c r="D604" t="s">
        <v>26</v>
      </c>
      <c r="E604" t="s">
        <v>86</v>
      </c>
      <c r="F604" t="s">
        <v>23</v>
      </c>
      <c r="G604" t="s">
        <v>37</v>
      </c>
      <c r="H604">
        <v>47</v>
      </c>
      <c r="I604">
        <v>148.99</v>
      </c>
      <c r="J604">
        <v>122.69</v>
      </c>
      <c r="K604">
        <f t="shared" si="54"/>
        <v>7002.5300000000007</v>
      </c>
      <c r="L604">
        <v>0</v>
      </c>
      <c r="M604">
        <f t="shared" si="55"/>
        <v>0</v>
      </c>
      <c r="N604">
        <f t="shared" si="56"/>
        <v>7002.5300000000007</v>
      </c>
      <c r="O604">
        <f t="shared" si="57"/>
        <v>5766.43</v>
      </c>
      <c r="P604">
        <f t="shared" si="58"/>
        <v>1236.1000000000004</v>
      </c>
      <c r="Q604">
        <f t="shared" si="59"/>
        <v>17.652191422243106</v>
      </c>
      <c r="R604" t="s">
        <v>50</v>
      </c>
      <c r="S604" t="s">
        <v>41</v>
      </c>
      <c r="T604">
        <v>3</v>
      </c>
    </row>
    <row r="605" spans="1:20">
      <c r="A605" t="s">
        <v>673</v>
      </c>
      <c r="B605" s="3">
        <v>45737</v>
      </c>
      <c r="C605" t="s">
        <v>21</v>
      </c>
      <c r="D605" t="s">
        <v>26</v>
      </c>
      <c r="E605" t="s">
        <v>68</v>
      </c>
      <c r="F605" t="s">
        <v>23</v>
      </c>
      <c r="G605" t="s">
        <v>37</v>
      </c>
      <c r="H605">
        <v>12</v>
      </c>
      <c r="I605">
        <v>1164.8</v>
      </c>
      <c r="J605">
        <v>974.58</v>
      </c>
      <c r="K605">
        <f t="shared" si="54"/>
        <v>13977.599999999999</v>
      </c>
      <c r="L605">
        <v>0</v>
      </c>
      <c r="M605">
        <f t="shared" si="55"/>
        <v>0</v>
      </c>
      <c r="N605">
        <f t="shared" si="56"/>
        <v>13977.599999999999</v>
      </c>
      <c r="O605">
        <f t="shared" si="57"/>
        <v>11694.960000000001</v>
      </c>
      <c r="P605">
        <f t="shared" si="58"/>
        <v>2282.6399999999976</v>
      </c>
      <c r="Q605">
        <f t="shared" si="59"/>
        <v>16.330700549450533</v>
      </c>
      <c r="R605" t="s">
        <v>49</v>
      </c>
      <c r="S605" t="s">
        <v>41</v>
      </c>
      <c r="T605">
        <v>3.4</v>
      </c>
    </row>
    <row r="606" spans="1:20">
      <c r="A606" t="s">
        <v>674</v>
      </c>
      <c r="B606" s="3">
        <v>45737</v>
      </c>
      <c r="C606" t="s">
        <v>21</v>
      </c>
      <c r="D606" t="s">
        <v>30</v>
      </c>
      <c r="E606" t="s">
        <v>70</v>
      </c>
      <c r="F606" t="s">
        <v>22</v>
      </c>
      <c r="G606" t="s">
        <v>35</v>
      </c>
      <c r="H606">
        <v>29</v>
      </c>
      <c r="I606">
        <v>527.63</v>
      </c>
      <c r="J606">
        <v>409.37</v>
      </c>
      <c r="K606">
        <f t="shared" si="54"/>
        <v>15301.27</v>
      </c>
      <c r="L606">
        <v>0</v>
      </c>
      <c r="M606">
        <f t="shared" si="55"/>
        <v>0</v>
      </c>
      <c r="N606">
        <f t="shared" si="56"/>
        <v>15301.27</v>
      </c>
      <c r="O606">
        <f t="shared" si="57"/>
        <v>11871.73</v>
      </c>
      <c r="P606">
        <f t="shared" si="58"/>
        <v>3429.5400000000009</v>
      </c>
      <c r="Q606">
        <f t="shared" si="59"/>
        <v>22.413433656160571</v>
      </c>
      <c r="R606" t="s">
        <v>49</v>
      </c>
      <c r="S606" t="s">
        <v>41</v>
      </c>
      <c r="T606">
        <v>4.5</v>
      </c>
    </row>
    <row r="607" spans="1:20">
      <c r="A607" t="s">
        <v>675</v>
      </c>
      <c r="B607" s="3">
        <v>45737</v>
      </c>
      <c r="C607" t="s">
        <v>21</v>
      </c>
      <c r="D607" t="s">
        <v>32</v>
      </c>
      <c r="E607" t="s">
        <v>86</v>
      </c>
      <c r="F607" t="s">
        <v>20</v>
      </c>
      <c r="G607" t="s">
        <v>36</v>
      </c>
      <c r="H607">
        <v>48</v>
      </c>
      <c r="I607">
        <v>842.81</v>
      </c>
      <c r="J607">
        <v>408.6</v>
      </c>
      <c r="K607">
        <f t="shared" si="54"/>
        <v>40454.879999999997</v>
      </c>
      <c r="L607">
        <v>0.05</v>
      </c>
      <c r="M607">
        <f t="shared" si="55"/>
        <v>2022.7439999999999</v>
      </c>
      <c r="N607">
        <f t="shared" si="56"/>
        <v>38432.135999999999</v>
      </c>
      <c r="O607">
        <f t="shared" si="57"/>
        <v>19612.800000000003</v>
      </c>
      <c r="P607">
        <f t="shared" si="58"/>
        <v>18819.335999999996</v>
      </c>
      <c r="Q607">
        <f t="shared" si="59"/>
        <v>48.967707649660682</v>
      </c>
      <c r="R607" t="s">
        <v>50</v>
      </c>
      <c r="S607" t="s">
        <v>41</v>
      </c>
      <c r="T607">
        <v>3.2</v>
      </c>
    </row>
    <row r="608" spans="1:20">
      <c r="A608" t="s">
        <v>676</v>
      </c>
      <c r="B608" s="3">
        <v>45738</v>
      </c>
      <c r="C608" t="s">
        <v>21</v>
      </c>
      <c r="D608" t="s">
        <v>26</v>
      </c>
      <c r="E608" t="s">
        <v>70</v>
      </c>
      <c r="F608" t="s">
        <v>22</v>
      </c>
      <c r="G608" t="s">
        <v>35</v>
      </c>
      <c r="H608">
        <v>3</v>
      </c>
      <c r="I608">
        <v>667.44</v>
      </c>
      <c r="J608">
        <v>506.41</v>
      </c>
      <c r="K608">
        <f t="shared" si="54"/>
        <v>2002.3200000000002</v>
      </c>
      <c r="L608">
        <v>0</v>
      </c>
      <c r="M608">
        <f t="shared" si="55"/>
        <v>0</v>
      </c>
      <c r="N608">
        <f t="shared" si="56"/>
        <v>2002.3200000000002</v>
      </c>
      <c r="O608">
        <f t="shared" si="57"/>
        <v>1519.23</v>
      </c>
      <c r="P608">
        <f t="shared" si="58"/>
        <v>483.09000000000015</v>
      </c>
      <c r="Q608">
        <f t="shared" si="59"/>
        <v>24.126513244636229</v>
      </c>
      <c r="R608" t="s">
        <v>49</v>
      </c>
      <c r="S608" t="s">
        <v>45</v>
      </c>
      <c r="T608">
        <v>3</v>
      </c>
    </row>
    <row r="609" spans="1:20">
      <c r="A609" t="s">
        <v>677</v>
      </c>
      <c r="B609" s="3">
        <v>45739</v>
      </c>
      <c r="C609" t="s">
        <v>21</v>
      </c>
      <c r="D609" t="s">
        <v>32</v>
      </c>
      <c r="E609" t="s">
        <v>68</v>
      </c>
      <c r="F609" t="s">
        <v>23</v>
      </c>
      <c r="G609" t="s">
        <v>44</v>
      </c>
      <c r="H609">
        <v>2</v>
      </c>
      <c r="I609">
        <v>1156.6600000000001</v>
      </c>
      <c r="J609">
        <v>919.96</v>
      </c>
      <c r="K609">
        <f t="shared" si="54"/>
        <v>2313.3200000000002</v>
      </c>
      <c r="L609">
        <v>0.15</v>
      </c>
      <c r="M609">
        <f t="shared" si="55"/>
        <v>346.99799999999999</v>
      </c>
      <c r="N609">
        <f t="shared" si="56"/>
        <v>1966.3220000000001</v>
      </c>
      <c r="O609">
        <f t="shared" si="57"/>
        <v>1839.92</v>
      </c>
      <c r="P609">
        <f t="shared" si="58"/>
        <v>126.40200000000004</v>
      </c>
      <c r="Q609">
        <f t="shared" si="59"/>
        <v>6.4283469340219987</v>
      </c>
      <c r="R609" t="s">
        <v>49</v>
      </c>
      <c r="S609" t="s">
        <v>41</v>
      </c>
      <c r="T609">
        <v>3.6</v>
      </c>
    </row>
    <row r="610" spans="1:20">
      <c r="A610" t="s">
        <v>678</v>
      </c>
      <c r="B610" s="3">
        <v>45739</v>
      </c>
      <c r="C610" t="s">
        <v>21</v>
      </c>
      <c r="D610" t="s">
        <v>30</v>
      </c>
      <c r="E610" t="s">
        <v>86</v>
      </c>
      <c r="F610" t="s">
        <v>24</v>
      </c>
      <c r="G610" t="s">
        <v>40</v>
      </c>
      <c r="H610">
        <v>29</v>
      </c>
      <c r="I610">
        <v>703.45</v>
      </c>
      <c r="J610">
        <v>421.59</v>
      </c>
      <c r="K610">
        <f t="shared" si="54"/>
        <v>20400.050000000003</v>
      </c>
      <c r="L610">
        <v>0</v>
      </c>
      <c r="M610">
        <f t="shared" si="55"/>
        <v>0</v>
      </c>
      <c r="N610">
        <f t="shared" si="56"/>
        <v>20400.050000000003</v>
      </c>
      <c r="O610">
        <f t="shared" si="57"/>
        <v>12226.109999999999</v>
      </c>
      <c r="P610">
        <f t="shared" si="58"/>
        <v>8173.9400000000041</v>
      </c>
      <c r="Q610">
        <f t="shared" si="59"/>
        <v>40.068235126874704</v>
      </c>
      <c r="R610" t="s">
        <v>50</v>
      </c>
      <c r="S610" t="s">
        <v>47</v>
      </c>
      <c r="T610">
        <v>4.5999999999999996</v>
      </c>
    </row>
    <row r="611" spans="1:20">
      <c r="A611" t="s">
        <v>679</v>
      </c>
      <c r="B611" s="3">
        <v>45739</v>
      </c>
      <c r="C611" t="s">
        <v>21</v>
      </c>
      <c r="D611" t="s">
        <v>30</v>
      </c>
      <c r="E611" t="s">
        <v>68</v>
      </c>
      <c r="F611" t="s">
        <v>24</v>
      </c>
      <c r="G611" t="s">
        <v>40</v>
      </c>
      <c r="H611">
        <v>17</v>
      </c>
      <c r="I611">
        <v>634.08000000000004</v>
      </c>
      <c r="J611">
        <v>356.3</v>
      </c>
      <c r="K611">
        <f t="shared" si="54"/>
        <v>10779.36</v>
      </c>
      <c r="L611">
        <v>0.05</v>
      </c>
      <c r="M611">
        <f t="shared" si="55"/>
        <v>538.96800000000007</v>
      </c>
      <c r="N611">
        <f t="shared" si="56"/>
        <v>10240.392</v>
      </c>
      <c r="O611">
        <f t="shared" si="57"/>
        <v>6057.1</v>
      </c>
      <c r="P611">
        <f t="shared" si="58"/>
        <v>4183.2919999999995</v>
      </c>
      <c r="Q611">
        <f t="shared" si="59"/>
        <v>40.850897114094849</v>
      </c>
      <c r="R611" t="s">
        <v>49</v>
      </c>
      <c r="S611" t="s">
        <v>47</v>
      </c>
      <c r="T611">
        <v>4.7</v>
      </c>
    </row>
    <row r="612" spans="1:20">
      <c r="A612" t="s">
        <v>680</v>
      </c>
      <c r="B612" s="3">
        <v>45739</v>
      </c>
      <c r="C612" t="s">
        <v>21</v>
      </c>
      <c r="D612" t="s">
        <v>32</v>
      </c>
      <c r="E612" t="s">
        <v>68</v>
      </c>
      <c r="F612" t="s">
        <v>22</v>
      </c>
      <c r="G612" t="s">
        <v>33</v>
      </c>
      <c r="H612">
        <v>49</v>
      </c>
      <c r="I612">
        <v>1452.62</v>
      </c>
      <c r="J612">
        <v>1150.67</v>
      </c>
      <c r="K612">
        <f t="shared" si="54"/>
        <v>71178.37999999999</v>
      </c>
      <c r="L612">
        <v>0.2</v>
      </c>
      <c r="M612">
        <f t="shared" si="55"/>
        <v>14235.675999999999</v>
      </c>
      <c r="N612">
        <f t="shared" si="56"/>
        <v>56942.703999999991</v>
      </c>
      <c r="O612">
        <f t="shared" si="57"/>
        <v>56382.83</v>
      </c>
      <c r="P612">
        <f t="shared" si="58"/>
        <v>559.87399999998888</v>
      </c>
      <c r="Q612">
        <f t="shared" si="59"/>
        <v>0.98322341699823201</v>
      </c>
      <c r="R612" t="s">
        <v>50</v>
      </c>
      <c r="S612" t="s">
        <v>43</v>
      </c>
      <c r="T612">
        <v>3.3</v>
      </c>
    </row>
    <row r="613" spans="1:20">
      <c r="A613" t="s">
        <v>681</v>
      </c>
      <c r="B613" s="3">
        <v>45740</v>
      </c>
      <c r="C613" t="s">
        <v>21</v>
      </c>
      <c r="D613" t="s">
        <v>30</v>
      </c>
      <c r="E613" t="s">
        <v>68</v>
      </c>
      <c r="F613" t="s">
        <v>24</v>
      </c>
      <c r="G613" t="s">
        <v>29</v>
      </c>
      <c r="H613">
        <v>26</v>
      </c>
      <c r="I613">
        <v>600.49</v>
      </c>
      <c r="J613">
        <v>324.33999999999997</v>
      </c>
      <c r="K613">
        <f t="shared" si="54"/>
        <v>15612.74</v>
      </c>
      <c r="L613">
        <v>0.1</v>
      </c>
      <c r="M613">
        <f t="shared" si="55"/>
        <v>1561.2740000000001</v>
      </c>
      <c r="N613">
        <f t="shared" si="56"/>
        <v>14051.466</v>
      </c>
      <c r="O613">
        <f t="shared" si="57"/>
        <v>8432.84</v>
      </c>
      <c r="P613">
        <f t="shared" si="58"/>
        <v>5618.6260000000002</v>
      </c>
      <c r="Q613">
        <f t="shared" si="59"/>
        <v>39.986048430818535</v>
      </c>
      <c r="R613" t="s">
        <v>49</v>
      </c>
      <c r="S613" t="s">
        <v>41</v>
      </c>
      <c r="T613">
        <v>4.5</v>
      </c>
    </row>
    <row r="614" spans="1:20">
      <c r="A614" t="s">
        <v>682</v>
      </c>
      <c r="B614" s="3">
        <v>45740</v>
      </c>
      <c r="C614" t="s">
        <v>21</v>
      </c>
      <c r="D614" t="s">
        <v>26</v>
      </c>
      <c r="E614" t="s">
        <v>68</v>
      </c>
      <c r="F614" t="s">
        <v>22</v>
      </c>
      <c r="G614" t="s">
        <v>33</v>
      </c>
      <c r="H614">
        <v>42</v>
      </c>
      <c r="I614">
        <v>1337.07</v>
      </c>
      <c r="J614">
        <v>901.75</v>
      </c>
      <c r="K614">
        <f t="shared" si="54"/>
        <v>56156.939999999995</v>
      </c>
      <c r="L614">
        <v>0.05</v>
      </c>
      <c r="M614">
        <f t="shared" si="55"/>
        <v>2807.8469999999998</v>
      </c>
      <c r="N614">
        <f t="shared" si="56"/>
        <v>53349.092999999993</v>
      </c>
      <c r="O614">
        <f t="shared" si="57"/>
        <v>37873.5</v>
      </c>
      <c r="P614">
        <f t="shared" si="58"/>
        <v>15475.592999999993</v>
      </c>
      <c r="Q614">
        <f t="shared" si="59"/>
        <v>29.00816514350112</v>
      </c>
      <c r="R614" t="s">
        <v>49</v>
      </c>
      <c r="S614" t="s">
        <v>41</v>
      </c>
      <c r="T614">
        <v>4.9000000000000004</v>
      </c>
    </row>
    <row r="615" spans="1:20">
      <c r="A615" t="s">
        <v>683</v>
      </c>
      <c r="B615" s="3">
        <v>45740</v>
      </c>
      <c r="C615" t="s">
        <v>21</v>
      </c>
      <c r="D615" t="s">
        <v>30</v>
      </c>
      <c r="E615" t="s">
        <v>68</v>
      </c>
      <c r="F615" t="s">
        <v>23</v>
      </c>
      <c r="G615" t="s">
        <v>37</v>
      </c>
      <c r="H615">
        <v>5</v>
      </c>
      <c r="I615">
        <v>613.63</v>
      </c>
      <c r="J615">
        <v>514.05999999999995</v>
      </c>
      <c r="K615">
        <f t="shared" si="54"/>
        <v>3068.15</v>
      </c>
      <c r="L615">
        <v>0</v>
      </c>
      <c r="M615">
        <f t="shared" si="55"/>
        <v>0</v>
      </c>
      <c r="N615">
        <f t="shared" si="56"/>
        <v>3068.15</v>
      </c>
      <c r="O615">
        <f t="shared" si="57"/>
        <v>2570.2999999999997</v>
      </c>
      <c r="P615">
        <f t="shared" si="58"/>
        <v>497.85000000000036</v>
      </c>
      <c r="Q615">
        <f t="shared" si="59"/>
        <v>16.226390495901448</v>
      </c>
      <c r="R615" t="s">
        <v>50</v>
      </c>
      <c r="S615" t="s">
        <v>45</v>
      </c>
      <c r="T615">
        <v>3.5</v>
      </c>
    </row>
    <row r="616" spans="1:20">
      <c r="A616" t="s">
        <v>684</v>
      </c>
      <c r="B616" s="3">
        <v>45742</v>
      </c>
      <c r="C616" t="s">
        <v>21</v>
      </c>
      <c r="D616" t="s">
        <v>28</v>
      </c>
      <c r="E616" t="s">
        <v>68</v>
      </c>
      <c r="F616" t="s">
        <v>24</v>
      </c>
      <c r="G616" t="s">
        <v>29</v>
      </c>
      <c r="H616">
        <v>11</v>
      </c>
      <c r="I616">
        <v>865.78</v>
      </c>
      <c r="J616">
        <v>454.78</v>
      </c>
      <c r="K616">
        <f t="shared" si="54"/>
        <v>9523.58</v>
      </c>
      <c r="L616">
        <v>0</v>
      </c>
      <c r="M616">
        <f t="shared" si="55"/>
        <v>0</v>
      </c>
      <c r="N616">
        <f t="shared" si="56"/>
        <v>9523.58</v>
      </c>
      <c r="O616">
        <f t="shared" si="57"/>
        <v>5002.58</v>
      </c>
      <c r="P616">
        <f t="shared" si="58"/>
        <v>4521</v>
      </c>
      <c r="Q616">
        <f t="shared" si="59"/>
        <v>47.471644066622005</v>
      </c>
      <c r="R616" t="s">
        <v>49</v>
      </c>
      <c r="S616" t="s">
        <v>41</v>
      </c>
      <c r="T616">
        <v>4.7</v>
      </c>
    </row>
    <row r="617" spans="1:20">
      <c r="A617" t="s">
        <v>685</v>
      </c>
      <c r="B617" s="3">
        <v>45743</v>
      </c>
      <c r="C617" t="s">
        <v>21</v>
      </c>
      <c r="D617" t="s">
        <v>32</v>
      </c>
      <c r="E617" t="s">
        <v>68</v>
      </c>
      <c r="F617" t="s">
        <v>23</v>
      </c>
      <c r="G617" t="s">
        <v>38</v>
      </c>
      <c r="H617">
        <v>43</v>
      </c>
      <c r="I617">
        <v>556.70000000000005</v>
      </c>
      <c r="J617">
        <v>396.3</v>
      </c>
      <c r="K617">
        <f t="shared" si="54"/>
        <v>23938.100000000002</v>
      </c>
      <c r="L617">
        <v>0.1</v>
      </c>
      <c r="M617">
        <f t="shared" si="55"/>
        <v>2393.8100000000004</v>
      </c>
      <c r="N617">
        <f t="shared" si="56"/>
        <v>21544.29</v>
      </c>
      <c r="O617">
        <f t="shared" si="57"/>
        <v>17040.900000000001</v>
      </c>
      <c r="P617">
        <f t="shared" si="58"/>
        <v>4503.3899999999994</v>
      </c>
      <c r="Q617">
        <f t="shared" si="59"/>
        <v>20.902939943715943</v>
      </c>
      <c r="R617" t="s">
        <v>49</v>
      </c>
      <c r="S617" t="s">
        <v>41</v>
      </c>
      <c r="T617">
        <v>4.5</v>
      </c>
    </row>
    <row r="618" spans="1:20">
      <c r="A618" t="s">
        <v>686</v>
      </c>
      <c r="B618" s="3">
        <v>45743</v>
      </c>
      <c r="C618" t="s">
        <v>21</v>
      </c>
      <c r="D618" t="s">
        <v>28</v>
      </c>
      <c r="E618" t="s">
        <v>70</v>
      </c>
      <c r="F618" t="s">
        <v>22</v>
      </c>
      <c r="G618" t="s">
        <v>42</v>
      </c>
      <c r="H618">
        <v>41</v>
      </c>
      <c r="I618">
        <v>758.08</v>
      </c>
      <c r="J618">
        <v>597.20000000000005</v>
      </c>
      <c r="K618">
        <f t="shared" si="54"/>
        <v>31081.280000000002</v>
      </c>
      <c r="L618">
        <v>0.25</v>
      </c>
      <c r="M618">
        <f t="shared" si="55"/>
        <v>7770.3200000000006</v>
      </c>
      <c r="N618">
        <f t="shared" si="56"/>
        <v>23310.960000000003</v>
      </c>
      <c r="O618">
        <f t="shared" si="57"/>
        <v>24485.200000000001</v>
      </c>
      <c r="P618">
        <f t="shared" si="58"/>
        <v>-1174.239999999998</v>
      </c>
      <c r="Q618">
        <f t="shared" si="59"/>
        <v>-5.0372871816518829</v>
      </c>
      <c r="R618" t="s">
        <v>49</v>
      </c>
      <c r="S618" t="s">
        <v>43</v>
      </c>
      <c r="T618">
        <v>3.7</v>
      </c>
    </row>
    <row r="619" spans="1:20">
      <c r="A619" t="s">
        <v>687</v>
      </c>
      <c r="B619" s="3">
        <v>45744</v>
      </c>
      <c r="C619" t="s">
        <v>21</v>
      </c>
      <c r="D619" t="s">
        <v>30</v>
      </c>
      <c r="E619" t="s">
        <v>86</v>
      </c>
      <c r="F619" t="s">
        <v>20</v>
      </c>
      <c r="G619" t="s">
        <v>31</v>
      </c>
      <c r="H619">
        <v>21</v>
      </c>
      <c r="I619">
        <v>1087.5999999999999</v>
      </c>
      <c r="J619">
        <v>577.28</v>
      </c>
      <c r="K619">
        <f t="shared" si="54"/>
        <v>22839.599999999999</v>
      </c>
      <c r="L619">
        <v>0.1</v>
      </c>
      <c r="M619">
        <f t="shared" si="55"/>
        <v>2283.96</v>
      </c>
      <c r="N619">
        <f t="shared" si="56"/>
        <v>20555.64</v>
      </c>
      <c r="O619">
        <f t="shared" si="57"/>
        <v>12122.88</v>
      </c>
      <c r="P619">
        <f t="shared" si="58"/>
        <v>8432.76</v>
      </c>
      <c r="Q619">
        <f t="shared" si="59"/>
        <v>41.024069306526094</v>
      </c>
      <c r="R619" t="s">
        <v>49</v>
      </c>
      <c r="S619" t="s">
        <v>45</v>
      </c>
      <c r="T619">
        <v>4.3</v>
      </c>
    </row>
    <row r="620" spans="1:20">
      <c r="A620" t="s">
        <v>688</v>
      </c>
      <c r="B620" s="3">
        <v>45746</v>
      </c>
      <c r="C620" t="s">
        <v>21</v>
      </c>
      <c r="D620" t="s">
        <v>26</v>
      </c>
      <c r="E620" t="s">
        <v>68</v>
      </c>
      <c r="F620" t="s">
        <v>24</v>
      </c>
      <c r="G620" t="s">
        <v>40</v>
      </c>
      <c r="H620">
        <v>20</v>
      </c>
      <c r="I620">
        <v>1113.31</v>
      </c>
      <c r="J620">
        <v>599.80999999999995</v>
      </c>
      <c r="K620">
        <f t="shared" si="54"/>
        <v>22266.199999999997</v>
      </c>
      <c r="L620">
        <v>0.05</v>
      </c>
      <c r="M620">
        <f t="shared" si="55"/>
        <v>1113.31</v>
      </c>
      <c r="N620">
        <f t="shared" si="56"/>
        <v>21152.889999999996</v>
      </c>
      <c r="O620">
        <f t="shared" si="57"/>
        <v>11996.199999999999</v>
      </c>
      <c r="P620">
        <f t="shared" si="58"/>
        <v>9156.6899999999969</v>
      </c>
      <c r="Q620">
        <f t="shared" si="59"/>
        <v>43.28812753245537</v>
      </c>
      <c r="R620" t="s">
        <v>50</v>
      </c>
      <c r="S620" t="s">
        <v>45</v>
      </c>
      <c r="T620">
        <v>3.8</v>
      </c>
    </row>
    <row r="621" spans="1:20">
      <c r="A621" t="s">
        <v>689</v>
      </c>
      <c r="B621" s="3">
        <v>45746</v>
      </c>
      <c r="C621" t="s">
        <v>21</v>
      </c>
      <c r="D621" t="s">
        <v>28</v>
      </c>
      <c r="E621" t="s">
        <v>86</v>
      </c>
      <c r="F621" t="s">
        <v>20</v>
      </c>
      <c r="G621" t="s">
        <v>31</v>
      </c>
      <c r="H621">
        <v>2</v>
      </c>
      <c r="I621">
        <v>1498.11</v>
      </c>
      <c r="J621">
        <v>618.62</v>
      </c>
      <c r="K621">
        <f t="shared" si="54"/>
        <v>2996.22</v>
      </c>
      <c r="L621">
        <v>0.1</v>
      </c>
      <c r="M621">
        <f t="shared" si="55"/>
        <v>299.62200000000001</v>
      </c>
      <c r="N621">
        <f t="shared" si="56"/>
        <v>2696.598</v>
      </c>
      <c r="O621">
        <f t="shared" si="57"/>
        <v>1237.24</v>
      </c>
      <c r="P621">
        <f t="shared" si="58"/>
        <v>1459.3579999999999</v>
      </c>
      <c r="Q621">
        <f t="shared" si="59"/>
        <v>54.118485588137347</v>
      </c>
      <c r="R621" t="s">
        <v>49</v>
      </c>
      <c r="S621" t="s">
        <v>41</v>
      </c>
      <c r="T621">
        <v>3.2</v>
      </c>
    </row>
    <row r="622" spans="1:20">
      <c r="A622" t="s">
        <v>690</v>
      </c>
      <c r="B622" s="3">
        <v>45746</v>
      </c>
      <c r="C622" t="s">
        <v>21</v>
      </c>
      <c r="D622" t="s">
        <v>30</v>
      </c>
      <c r="E622" t="s">
        <v>86</v>
      </c>
      <c r="F622" t="s">
        <v>22</v>
      </c>
      <c r="G622" t="s">
        <v>33</v>
      </c>
      <c r="H622">
        <v>9</v>
      </c>
      <c r="I622">
        <v>1112.72</v>
      </c>
      <c r="J622">
        <v>849.11</v>
      </c>
      <c r="K622">
        <f t="shared" si="54"/>
        <v>10014.48</v>
      </c>
      <c r="L622">
        <v>0.05</v>
      </c>
      <c r="M622">
        <f t="shared" si="55"/>
        <v>500.72399999999999</v>
      </c>
      <c r="N622">
        <f t="shared" si="56"/>
        <v>9513.7559999999994</v>
      </c>
      <c r="O622">
        <f t="shared" si="57"/>
        <v>7641.99</v>
      </c>
      <c r="P622">
        <f t="shared" si="58"/>
        <v>1871.7659999999996</v>
      </c>
      <c r="Q622">
        <f t="shared" si="59"/>
        <v>19.674311596807819</v>
      </c>
      <c r="R622" t="s">
        <v>50</v>
      </c>
      <c r="S622" t="s">
        <v>43</v>
      </c>
      <c r="T622">
        <v>4.5</v>
      </c>
    </row>
    <row r="623" spans="1:20">
      <c r="A623" t="s">
        <v>691</v>
      </c>
      <c r="B623" s="3">
        <v>45747</v>
      </c>
      <c r="C623" t="s">
        <v>21</v>
      </c>
      <c r="D623" t="s">
        <v>26</v>
      </c>
      <c r="E623" t="s">
        <v>70</v>
      </c>
      <c r="F623" t="s">
        <v>23</v>
      </c>
      <c r="G623" t="s">
        <v>44</v>
      </c>
      <c r="H623">
        <v>8</v>
      </c>
      <c r="I623">
        <v>1464.52</v>
      </c>
      <c r="J623">
        <v>1198.8499999999999</v>
      </c>
      <c r="K623">
        <f t="shared" si="54"/>
        <v>11716.16</v>
      </c>
      <c r="L623">
        <v>0</v>
      </c>
      <c r="M623">
        <f t="shared" si="55"/>
        <v>0</v>
      </c>
      <c r="N623">
        <f t="shared" si="56"/>
        <v>11716.16</v>
      </c>
      <c r="O623">
        <f t="shared" si="57"/>
        <v>9590.7999999999993</v>
      </c>
      <c r="P623">
        <f t="shared" si="58"/>
        <v>2125.3600000000006</v>
      </c>
      <c r="Q623">
        <f t="shared" si="59"/>
        <v>18.140414606833644</v>
      </c>
      <c r="R623" t="s">
        <v>51</v>
      </c>
      <c r="S623" t="s">
        <v>41</v>
      </c>
      <c r="T623">
        <v>4.7</v>
      </c>
    </row>
    <row r="624" spans="1:20">
      <c r="A624" t="s">
        <v>692</v>
      </c>
      <c r="B624" s="3">
        <v>45748</v>
      </c>
      <c r="C624" t="s">
        <v>21</v>
      </c>
      <c r="D624" t="s">
        <v>26</v>
      </c>
      <c r="E624" t="s">
        <v>68</v>
      </c>
      <c r="F624" t="s">
        <v>20</v>
      </c>
      <c r="G624" t="s">
        <v>31</v>
      </c>
      <c r="H624">
        <v>47</v>
      </c>
      <c r="I624">
        <v>1290.01</v>
      </c>
      <c r="J624">
        <v>654.53</v>
      </c>
      <c r="K624">
        <f t="shared" si="54"/>
        <v>60630.47</v>
      </c>
      <c r="L624">
        <v>0.05</v>
      </c>
      <c r="M624">
        <f t="shared" si="55"/>
        <v>3031.5235000000002</v>
      </c>
      <c r="N624">
        <f t="shared" si="56"/>
        <v>57598.946499999998</v>
      </c>
      <c r="O624">
        <f t="shared" si="57"/>
        <v>30762.91</v>
      </c>
      <c r="P624">
        <f t="shared" si="58"/>
        <v>26836.036499999998</v>
      </c>
      <c r="Q624">
        <f t="shared" si="59"/>
        <v>46.591193295523212</v>
      </c>
      <c r="R624" t="s">
        <v>49</v>
      </c>
      <c r="S624" t="s">
        <v>41</v>
      </c>
      <c r="T624">
        <v>3.1</v>
      </c>
    </row>
    <row r="625" spans="1:20">
      <c r="A625" t="s">
        <v>693</v>
      </c>
      <c r="B625" s="3">
        <v>45748</v>
      </c>
      <c r="C625" t="s">
        <v>21</v>
      </c>
      <c r="D625" t="s">
        <v>28</v>
      </c>
      <c r="E625" t="s">
        <v>70</v>
      </c>
      <c r="F625" t="s">
        <v>23</v>
      </c>
      <c r="G625" t="s">
        <v>38</v>
      </c>
      <c r="H625">
        <v>9</v>
      </c>
      <c r="I625">
        <v>139.4</v>
      </c>
      <c r="J625">
        <v>108.36</v>
      </c>
      <c r="K625">
        <f t="shared" si="54"/>
        <v>1254.6000000000001</v>
      </c>
      <c r="L625">
        <v>0.25</v>
      </c>
      <c r="M625">
        <f t="shared" si="55"/>
        <v>313.65000000000003</v>
      </c>
      <c r="N625">
        <f t="shared" si="56"/>
        <v>940.95</v>
      </c>
      <c r="O625">
        <f t="shared" si="57"/>
        <v>975.24</v>
      </c>
      <c r="P625">
        <f t="shared" si="58"/>
        <v>-34.289999999999964</v>
      </c>
      <c r="Q625">
        <f t="shared" si="59"/>
        <v>-3.6441893830702976</v>
      </c>
      <c r="R625" t="s">
        <v>51</v>
      </c>
      <c r="S625" t="s">
        <v>47</v>
      </c>
      <c r="T625">
        <v>3.1</v>
      </c>
    </row>
    <row r="626" spans="1:20">
      <c r="A626" t="s">
        <v>694</v>
      </c>
      <c r="B626" s="3">
        <v>45749</v>
      </c>
      <c r="C626" t="s">
        <v>21</v>
      </c>
      <c r="D626" t="s">
        <v>28</v>
      </c>
      <c r="E626" t="s">
        <v>86</v>
      </c>
      <c r="F626" t="s">
        <v>23</v>
      </c>
      <c r="G626" t="s">
        <v>44</v>
      </c>
      <c r="H626">
        <v>27</v>
      </c>
      <c r="I626">
        <v>405.14</v>
      </c>
      <c r="J626">
        <v>306.8</v>
      </c>
      <c r="K626">
        <f t="shared" si="54"/>
        <v>10938.779999999999</v>
      </c>
      <c r="L626">
        <v>0</v>
      </c>
      <c r="M626">
        <f t="shared" si="55"/>
        <v>0</v>
      </c>
      <c r="N626">
        <f t="shared" si="56"/>
        <v>10938.779999999999</v>
      </c>
      <c r="O626">
        <f t="shared" si="57"/>
        <v>8283.6</v>
      </c>
      <c r="P626">
        <f t="shared" si="58"/>
        <v>2655.1799999999985</v>
      </c>
      <c r="Q626">
        <f t="shared" si="59"/>
        <v>24.273090783432878</v>
      </c>
      <c r="R626" t="s">
        <v>49</v>
      </c>
      <c r="S626" t="s">
        <v>41</v>
      </c>
      <c r="T626">
        <v>4.4000000000000004</v>
      </c>
    </row>
    <row r="627" spans="1:20">
      <c r="A627" t="s">
        <v>695</v>
      </c>
      <c r="B627" s="3">
        <v>45749</v>
      </c>
      <c r="C627" t="s">
        <v>21</v>
      </c>
      <c r="D627" t="s">
        <v>30</v>
      </c>
      <c r="E627" t="s">
        <v>70</v>
      </c>
      <c r="F627" t="s">
        <v>20</v>
      </c>
      <c r="G627" t="s">
        <v>36</v>
      </c>
      <c r="H627">
        <v>21</v>
      </c>
      <c r="I627">
        <v>151.6</v>
      </c>
      <c r="J627">
        <v>76.98</v>
      </c>
      <c r="K627">
        <f t="shared" si="54"/>
        <v>3183.6</v>
      </c>
      <c r="L627">
        <v>0.1</v>
      </c>
      <c r="M627">
        <f t="shared" si="55"/>
        <v>318.36</v>
      </c>
      <c r="N627">
        <f t="shared" si="56"/>
        <v>2865.24</v>
      </c>
      <c r="O627">
        <f t="shared" si="57"/>
        <v>1616.5800000000002</v>
      </c>
      <c r="P627">
        <f t="shared" si="58"/>
        <v>1248.6599999999996</v>
      </c>
      <c r="Q627">
        <f t="shared" si="59"/>
        <v>43.57959542656112</v>
      </c>
      <c r="R627" t="s">
        <v>51</v>
      </c>
      <c r="S627" t="s">
        <v>41</v>
      </c>
      <c r="T627">
        <v>4.0999999999999996</v>
      </c>
    </row>
    <row r="628" spans="1:20">
      <c r="A628" t="s">
        <v>696</v>
      </c>
      <c r="B628" s="3">
        <v>45751</v>
      </c>
      <c r="C628" t="s">
        <v>21</v>
      </c>
      <c r="D628" t="s">
        <v>32</v>
      </c>
      <c r="E628" t="s">
        <v>68</v>
      </c>
      <c r="F628" t="s">
        <v>20</v>
      </c>
      <c r="G628" t="s">
        <v>31</v>
      </c>
      <c r="H628">
        <v>36</v>
      </c>
      <c r="I628">
        <v>660.01</v>
      </c>
      <c r="J628">
        <v>319.69</v>
      </c>
      <c r="K628">
        <f t="shared" si="54"/>
        <v>23760.36</v>
      </c>
      <c r="L628">
        <v>0</v>
      </c>
      <c r="M628">
        <f t="shared" si="55"/>
        <v>0</v>
      </c>
      <c r="N628">
        <f t="shared" si="56"/>
        <v>23760.36</v>
      </c>
      <c r="O628">
        <f t="shared" si="57"/>
        <v>11508.84</v>
      </c>
      <c r="P628">
        <f t="shared" si="58"/>
        <v>12251.52</v>
      </c>
      <c r="Q628">
        <f t="shared" si="59"/>
        <v>51.562855108255931</v>
      </c>
      <c r="R628" t="s">
        <v>49</v>
      </c>
      <c r="S628" t="s">
        <v>41</v>
      </c>
      <c r="T628">
        <v>4.3</v>
      </c>
    </row>
    <row r="629" spans="1:20">
      <c r="A629" t="s">
        <v>697</v>
      </c>
      <c r="B629" s="3">
        <v>45751</v>
      </c>
      <c r="C629" t="s">
        <v>21</v>
      </c>
      <c r="D629" t="s">
        <v>26</v>
      </c>
      <c r="E629" t="s">
        <v>68</v>
      </c>
      <c r="F629" t="s">
        <v>20</v>
      </c>
      <c r="G629" t="s">
        <v>36</v>
      </c>
      <c r="H629">
        <v>23</v>
      </c>
      <c r="I629">
        <v>755.81</v>
      </c>
      <c r="J629">
        <v>312.25</v>
      </c>
      <c r="K629">
        <f t="shared" si="54"/>
        <v>17383.629999999997</v>
      </c>
      <c r="L629">
        <v>0.05</v>
      </c>
      <c r="M629">
        <f t="shared" si="55"/>
        <v>869.18149999999991</v>
      </c>
      <c r="N629">
        <f t="shared" si="56"/>
        <v>16514.448499999999</v>
      </c>
      <c r="O629">
        <f t="shared" si="57"/>
        <v>7181.75</v>
      </c>
      <c r="P629">
        <f t="shared" si="58"/>
        <v>9332.6984999999986</v>
      </c>
      <c r="Q629">
        <f t="shared" si="59"/>
        <v>56.512323133285371</v>
      </c>
      <c r="R629" t="s">
        <v>50</v>
      </c>
      <c r="S629" t="s">
        <v>47</v>
      </c>
      <c r="T629">
        <v>3.7</v>
      </c>
    </row>
    <row r="630" spans="1:20">
      <c r="A630" t="s">
        <v>698</v>
      </c>
      <c r="B630" s="3">
        <v>45753</v>
      </c>
      <c r="C630" t="s">
        <v>21</v>
      </c>
      <c r="D630" t="s">
        <v>28</v>
      </c>
      <c r="E630" t="s">
        <v>70</v>
      </c>
      <c r="F630" t="s">
        <v>22</v>
      </c>
      <c r="G630" t="s">
        <v>33</v>
      </c>
      <c r="H630">
        <v>27</v>
      </c>
      <c r="I630">
        <v>394.43</v>
      </c>
      <c r="J630">
        <v>312.64999999999998</v>
      </c>
      <c r="K630">
        <f t="shared" si="54"/>
        <v>10649.61</v>
      </c>
      <c r="L630">
        <v>0</v>
      </c>
      <c r="M630">
        <f t="shared" si="55"/>
        <v>0</v>
      </c>
      <c r="N630">
        <f t="shared" si="56"/>
        <v>10649.61</v>
      </c>
      <c r="O630">
        <f t="shared" si="57"/>
        <v>8441.5499999999993</v>
      </c>
      <c r="P630">
        <f t="shared" si="58"/>
        <v>2208.0600000000013</v>
      </c>
      <c r="Q630">
        <f t="shared" si="59"/>
        <v>20.733717009355281</v>
      </c>
      <c r="R630" t="s">
        <v>49</v>
      </c>
      <c r="S630" t="s">
        <v>45</v>
      </c>
      <c r="T630">
        <v>3.7</v>
      </c>
    </row>
    <row r="631" spans="1:20">
      <c r="A631" t="s">
        <v>699</v>
      </c>
      <c r="B631" s="3">
        <v>45753</v>
      </c>
      <c r="C631" t="s">
        <v>21</v>
      </c>
      <c r="D631" t="s">
        <v>32</v>
      </c>
      <c r="E631" t="s">
        <v>68</v>
      </c>
      <c r="F631" t="s">
        <v>20</v>
      </c>
      <c r="G631" t="s">
        <v>31</v>
      </c>
      <c r="H631">
        <v>24</v>
      </c>
      <c r="I631">
        <v>196.43</v>
      </c>
      <c r="J631">
        <v>105.46</v>
      </c>
      <c r="K631">
        <f t="shared" si="54"/>
        <v>4714.32</v>
      </c>
      <c r="L631">
        <v>0.05</v>
      </c>
      <c r="M631">
        <f t="shared" si="55"/>
        <v>235.71600000000001</v>
      </c>
      <c r="N631">
        <f t="shared" si="56"/>
        <v>4478.6039999999994</v>
      </c>
      <c r="O631">
        <f t="shared" si="57"/>
        <v>2531.04</v>
      </c>
      <c r="P631">
        <f t="shared" si="58"/>
        <v>1947.5639999999994</v>
      </c>
      <c r="Q631">
        <f t="shared" si="59"/>
        <v>43.485961250425348</v>
      </c>
      <c r="R631" t="s">
        <v>49</v>
      </c>
      <c r="S631" t="s">
        <v>43</v>
      </c>
      <c r="T631">
        <v>4.0999999999999996</v>
      </c>
    </row>
    <row r="632" spans="1:20">
      <c r="A632" t="s">
        <v>700</v>
      </c>
      <c r="B632" s="3">
        <v>45754</v>
      </c>
      <c r="C632" t="s">
        <v>21</v>
      </c>
      <c r="D632" t="s">
        <v>26</v>
      </c>
      <c r="E632" t="s">
        <v>68</v>
      </c>
      <c r="F632" t="s">
        <v>23</v>
      </c>
      <c r="G632" t="s">
        <v>44</v>
      </c>
      <c r="H632">
        <v>17</v>
      </c>
      <c r="I632">
        <v>1132.18</v>
      </c>
      <c r="J632">
        <v>841.21</v>
      </c>
      <c r="K632">
        <f t="shared" si="54"/>
        <v>19247.060000000001</v>
      </c>
      <c r="L632">
        <v>0.15</v>
      </c>
      <c r="M632">
        <f t="shared" si="55"/>
        <v>2887.0590000000002</v>
      </c>
      <c r="N632">
        <f t="shared" si="56"/>
        <v>16360.001</v>
      </c>
      <c r="O632">
        <f t="shared" si="57"/>
        <v>14300.57</v>
      </c>
      <c r="P632">
        <f t="shared" si="58"/>
        <v>2059.4310000000005</v>
      </c>
      <c r="Q632">
        <f t="shared" si="59"/>
        <v>12.588208277004387</v>
      </c>
      <c r="R632" t="s">
        <v>50</v>
      </c>
      <c r="S632" t="s">
        <v>45</v>
      </c>
      <c r="T632">
        <v>3.7</v>
      </c>
    </row>
    <row r="633" spans="1:20">
      <c r="A633" t="s">
        <v>701</v>
      </c>
      <c r="B633" s="3">
        <v>45754</v>
      </c>
      <c r="C633" t="s">
        <v>21</v>
      </c>
      <c r="D633" t="s">
        <v>32</v>
      </c>
      <c r="E633" t="s">
        <v>68</v>
      </c>
      <c r="F633" t="s">
        <v>24</v>
      </c>
      <c r="G633" t="s">
        <v>29</v>
      </c>
      <c r="H633">
        <v>32</v>
      </c>
      <c r="I633">
        <v>287.95</v>
      </c>
      <c r="J633">
        <v>150.01</v>
      </c>
      <c r="K633">
        <f t="shared" si="54"/>
        <v>9214.4</v>
      </c>
      <c r="L633">
        <v>0</v>
      </c>
      <c r="M633">
        <f t="shared" si="55"/>
        <v>0</v>
      </c>
      <c r="N633">
        <f t="shared" si="56"/>
        <v>9214.4</v>
      </c>
      <c r="O633">
        <f t="shared" si="57"/>
        <v>4800.32</v>
      </c>
      <c r="P633">
        <f t="shared" si="58"/>
        <v>4414.08</v>
      </c>
      <c r="Q633">
        <f t="shared" si="59"/>
        <v>47.904150026046189</v>
      </c>
      <c r="R633" t="s">
        <v>50</v>
      </c>
      <c r="S633" t="s">
        <v>41</v>
      </c>
      <c r="T633">
        <v>3.9</v>
      </c>
    </row>
    <row r="634" spans="1:20">
      <c r="A634" t="s">
        <v>702</v>
      </c>
      <c r="B634" s="3">
        <v>45755</v>
      </c>
      <c r="C634" t="s">
        <v>21</v>
      </c>
      <c r="D634" t="s">
        <v>32</v>
      </c>
      <c r="E634" t="s">
        <v>70</v>
      </c>
      <c r="F634" t="s">
        <v>23</v>
      </c>
      <c r="G634" t="s">
        <v>38</v>
      </c>
      <c r="H634">
        <v>8</v>
      </c>
      <c r="I634">
        <v>955.49</v>
      </c>
      <c r="J634">
        <v>738.83</v>
      </c>
      <c r="K634">
        <f t="shared" si="54"/>
        <v>7643.92</v>
      </c>
      <c r="L634">
        <v>0.1</v>
      </c>
      <c r="M634">
        <f t="shared" si="55"/>
        <v>764.39200000000005</v>
      </c>
      <c r="N634">
        <f t="shared" si="56"/>
        <v>6879.5280000000002</v>
      </c>
      <c r="O634">
        <f t="shared" si="57"/>
        <v>5910.64</v>
      </c>
      <c r="P634">
        <f t="shared" si="58"/>
        <v>968.88799999999992</v>
      </c>
      <c r="Q634">
        <f t="shared" si="59"/>
        <v>14.083640621856613</v>
      </c>
      <c r="R634" t="s">
        <v>49</v>
      </c>
      <c r="S634" t="s">
        <v>43</v>
      </c>
      <c r="T634">
        <v>3.5</v>
      </c>
    </row>
    <row r="635" spans="1:20">
      <c r="A635" t="s">
        <v>703</v>
      </c>
      <c r="B635" s="3">
        <v>45756</v>
      </c>
      <c r="C635" t="s">
        <v>21</v>
      </c>
      <c r="D635" t="s">
        <v>30</v>
      </c>
      <c r="E635" t="s">
        <v>86</v>
      </c>
      <c r="F635" t="s">
        <v>20</v>
      </c>
      <c r="G635" t="s">
        <v>34</v>
      </c>
      <c r="H635">
        <v>17</v>
      </c>
      <c r="I635">
        <v>432.25</v>
      </c>
      <c r="J635">
        <v>201.85</v>
      </c>
      <c r="K635">
        <f t="shared" si="54"/>
        <v>7348.25</v>
      </c>
      <c r="L635">
        <v>0.15</v>
      </c>
      <c r="M635">
        <f t="shared" si="55"/>
        <v>1102.2375</v>
      </c>
      <c r="N635">
        <f t="shared" si="56"/>
        <v>6246.0124999999998</v>
      </c>
      <c r="O635">
        <f t="shared" si="57"/>
        <v>3431.45</v>
      </c>
      <c r="P635">
        <f t="shared" si="58"/>
        <v>2814.5625</v>
      </c>
      <c r="Q635">
        <f t="shared" si="59"/>
        <v>45.06174939611472</v>
      </c>
      <c r="R635" t="s">
        <v>49</v>
      </c>
      <c r="S635" t="s">
        <v>41</v>
      </c>
      <c r="T635">
        <v>3.7</v>
      </c>
    </row>
    <row r="636" spans="1:20">
      <c r="A636" t="s">
        <v>704</v>
      </c>
      <c r="B636" s="3">
        <v>45757</v>
      </c>
      <c r="C636" t="s">
        <v>21</v>
      </c>
      <c r="D636" t="s">
        <v>30</v>
      </c>
      <c r="E636" t="s">
        <v>68</v>
      </c>
      <c r="F636" t="s">
        <v>20</v>
      </c>
      <c r="G636" t="s">
        <v>36</v>
      </c>
      <c r="H636">
        <v>1</v>
      </c>
      <c r="I636">
        <v>986.37</v>
      </c>
      <c r="J636">
        <v>565.39</v>
      </c>
      <c r="K636">
        <f t="shared" si="54"/>
        <v>986.37</v>
      </c>
      <c r="L636">
        <v>0.2</v>
      </c>
      <c r="M636">
        <f t="shared" si="55"/>
        <v>197.274</v>
      </c>
      <c r="N636">
        <f t="shared" si="56"/>
        <v>789.096</v>
      </c>
      <c r="O636">
        <f t="shared" si="57"/>
        <v>565.39</v>
      </c>
      <c r="P636">
        <f t="shared" si="58"/>
        <v>223.70600000000002</v>
      </c>
      <c r="Q636">
        <f t="shared" si="59"/>
        <v>28.349655808672203</v>
      </c>
      <c r="R636" t="s">
        <v>50</v>
      </c>
      <c r="S636" t="s">
        <v>41</v>
      </c>
      <c r="T636">
        <v>4.4000000000000004</v>
      </c>
    </row>
    <row r="637" spans="1:20">
      <c r="A637" t="s">
        <v>705</v>
      </c>
      <c r="B637" s="3">
        <v>45757</v>
      </c>
      <c r="C637" t="s">
        <v>21</v>
      </c>
      <c r="D637" t="s">
        <v>30</v>
      </c>
      <c r="E637" t="s">
        <v>86</v>
      </c>
      <c r="F637" t="s">
        <v>20</v>
      </c>
      <c r="G637" t="s">
        <v>36</v>
      </c>
      <c r="H637">
        <v>47</v>
      </c>
      <c r="I637">
        <v>1166.3699999999999</v>
      </c>
      <c r="J637">
        <v>569.36</v>
      </c>
      <c r="K637">
        <f t="shared" si="54"/>
        <v>54819.389999999992</v>
      </c>
      <c r="L637">
        <v>0</v>
      </c>
      <c r="M637">
        <f t="shared" si="55"/>
        <v>0</v>
      </c>
      <c r="N637">
        <f t="shared" si="56"/>
        <v>54819.389999999992</v>
      </c>
      <c r="O637">
        <f t="shared" si="57"/>
        <v>26759.920000000002</v>
      </c>
      <c r="P637">
        <f t="shared" si="58"/>
        <v>28059.46999999999</v>
      </c>
      <c r="Q637">
        <f t="shared" si="59"/>
        <v>51.185301405214453</v>
      </c>
      <c r="R637" t="s">
        <v>50</v>
      </c>
      <c r="S637" t="s">
        <v>43</v>
      </c>
      <c r="T637">
        <v>3</v>
      </c>
    </row>
    <row r="638" spans="1:20">
      <c r="A638" t="s">
        <v>706</v>
      </c>
      <c r="B638" s="3">
        <v>45757</v>
      </c>
      <c r="C638" t="s">
        <v>21</v>
      </c>
      <c r="D638" t="s">
        <v>28</v>
      </c>
      <c r="E638" t="s">
        <v>68</v>
      </c>
      <c r="F638" t="s">
        <v>22</v>
      </c>
      <c r="G638" t="s">
        <v>35</v>
      </c>
      <c r="H638">
        <v>37</v>
      </c>
      <c r="I638">
        <v>1387.93</v>
      </c>
      <c r="J638">
        <v>962.5</v>
      </c>
      <c r="K638">
        <f t="shared" si="54"/>
        <v>51353.41</v>
      </c>
      <c r="L638">
        <v>0</v>
      </c>
      <c r="M638">
        <f t="shared" si="55"/>
        <v>0</v>
      </c>
      <c r="N638">
        <f t="shared" si="56"/>
        <v>51353.41</v>
      </c>
      <c r="O638">
        <f t="shared" si="57"/>
        <v>35612.5</v>
      </c>
      <c r="P638">
        <f t="shared" si="58"/>
        <v>15740.910000000003</v>
      </c>
      <c r="Q638">
        <f t="shared" si="59"/>
        <v>30.652122225184268</v>
      </c>
      <c r="R638" t="s">
        <v>51</v>
      </c>
      <c r="S638" t="s">
        <v>47</v>
      </c>
      <c r="T638">
        <v>4.5999999999999996</v>
      </c>
    </row>
    <row r="639" spans="1:20">
      <c r="A639" t="s">
        <v>707</v>
      </c>
      <c r="B639" s="3">
        <v>45758</v>
      </c>
      <c r="C639" t="s">
        <v>21</v>
      </c>
      <c r="D639" t="s">
        <v>32</v>
      </c>
      <c r="E639" t="s">
        <v>70</v>
      </c>
      <c r="F639" t="s">
        <v>22</v>
      </c>
      <c r="G639" t="s">
        <v>42</v>
      </c>
      <c r="H639">
        <v>22</v>
      </c>
      <c r="I639">
        <v>684.15</v>
      </c>
      <c r="J639">
        <v>514.14</v>
      </c>
      <c r="K639">
        <f t="shared" si="54"/>
        <v>15051.3</v>
      </c>
      <c r="L639">
        <v>0</v>
      </c>
      <c r="M639">
        <f t="shared" si="55"/>
        <v>0</v>
      </c>
      <c r="N639">
        <f t="shared" si="56"/>
        <v>15051.3</v>
      </c>
      <c r="O639">
        <f t="shared" si="57"/>
        <v>11311.08</v>
      </c>
      <c r="P639">
        <f t="shared" si="58"/>
        <v>3740.2199999999993</v>
      </c>
      <c r="Q639">
        <f t="shared" si="59"/>
        <v>24.849813637360224</v>
      </c>
      <c r="R639" t="s">
        <v>50</v>
      </c>
      <c r="S639" t="s">
        <v>41</v>
      </c>
      <c r="T639">
        <v>4.0999999999999996</v>
      </c>
    </row>
    <row r="640" spans="1:20">
      <c r="A640" t="s">
        <v>708</v>
      </c>
      <c r="B640" s="3">
        <v>45758</v>
      </c>
      <c r="C640" t="s">
        <v>21</v>
      </c>
      <c r="D640" t="s">
        <v>32</v>
      </c>
      <c r="E640" t="s">
        <v>70</v>
      </c>
      <c r="F640" t="s">
        <v>20</v>
      </c>
      <c r="G640" t="s">
        <v>36</v>
      </c>
      <c r="H640">
        <v>7</v>
      </c>
      <c r="I640">
        <v>1175.04</v>
      </c>
      <c r="J640">
        <v>625.92999999999995</v>
      </c>
      <c r="K640">
        <f t="shared" si="54"/>
        <v>8225.2799999999988</v>
      </c>
      <c r="L640">
        <v>0.25</v>
      </c>
      <c r="M640">
        <f t="shared" si="55"/>
        <v>2056.3199999999997</v>
      </c>
      <c r="N640">
        <f t="shared" si="56"/>
        <v>6168.9599999999991</v>
      </c>
      <c r="O640">
        <f t="shared" si="57"/>
        <v>4381.5099999999993</v>
      </c>
      <c r="P640">
        <f t="shared" si="58"/>
        <v>1787.4499999999998</v>
      </c>
      <c r="Q640">
        <f t="shared" si="59"/>
        <v>28.974900145243282</v>
      </c>
      <c r="R640" t="s">
        <v>51</v>
      </c>
      <c r="S640" t="s">
        <v>41</v>
      </c>
      <c r="T640">
        <v>4.5</v>
      </c>
    </row>
    <row r="641" spans="1:20">
      <c r="A641" t="s">
        <v>709</v>
      </c>
      <c r="B641" s="3">
        <v>45758</v>
      </c>
      <c r="C641" t="s">
        <v>21</v>
      </c>
      <c r="D641" t="s">
        <v>26</v>
      </c>
      <c r="E641" t="s">
        <v>70</v>
      </c>
      <c r="F641" t="s">
        <v>20</v>
      </c>
      <c r="G641" t="s">
        <v>31</v>
      </c>
      <c r="H641">
        <v>1</v>
      </c>
      <c r="I641">
        <v>827.36</v>
      </c>
      <c r="J641">
        <v>418.38</v>
      </c>
      <c r="K641">
        <f t="shared" si="54"/>
        <v>827.36</v>
      </c>
      <c r="L641">
        <v>0.2</v>
      </c>
      <c r="M641">
        <f t="shared" si="55"/>
        <v>165.47200000000001</v>
      </c>
      <c r="N641">
        <f t="shared" si="56"/>
        <v>661.88800000000003</v>
      </c>
      <c r="O641">
        <f t="shared" si="57"/>
        <v>418.38</v>
      </c>
      <c r="P641">
        <f t="shared" si="58"/>
        <v>243.50800000000004</v>
      </c>
      <c r="Q641">
        <f t="shared" si="59"/>
        <v>36.789910075420615</v>
      </c>
      <c r="R641" t="s">
        <v>50</v>
      </c>
      <c r="S641" t="s">
        <v>41</v>
      </c>
      <c r="T641">
        <v>4.0999999999999996</v>
      </c>
    </row>
    <row r="642" spans="1:20">
      <c r="A642" t="s">
        <v>710</v>
      </c>
      <c r="B642" s="3">
        <v>45760</v>
      </c>
      <c r="C642" t="s">
        <v>21</v>
      </c>
      <c r="D642" t="s">
        <v>26</v>
      </c>
      <c r="E642" t="s">
        <v>86</v>
      </c>
      <c r="F642" t="s">
        <v>24</v>
      </c>
      <c r="G642" t="s">
        <v>40</v>
      </c>
      <c r="H642">
        <v>33</v>
      </c>
      <c r="I642">
        <v>194.31</v>
      </c>
      <c r="J642">
        <v>135.24</v>
      </c>
      <c r="K642">
        <f t="shared" ref="K642:K705" si="60">H642*I642</f>
        <v>6412.2300000000005</v>
      </c>
      <c r="L642">
        <v>0.05</v>
      </c>
      <c r="M642">
        <f t="shared" ref="M642:M705" si="61">K642*L642</f>
        <v>320.61150000000004</v>
      </c>
      <c r="N642">
        <f t="shared" ref="N642:N705" si="62">K642-M642</f>
        <v>6091.6185000000005</v>
      </c>
      <c r="O642">
        <f t="shared" ref="O642:O705" si="63">H642*J642</f>
        <v>4462.92</v>
      </c>
      <c r="P642">
        <f t="shared" ref="P642:P705" si="64">N642-O642</f>
        <v>1628.6985000000004</v>
      </c>
      <c r="Q642">
        <f t="shared" ref="Q642:Q705" si="65">IFERROR(P642/N642*100,0)</f>
        <v>26.736712090555248</v>
      </c>
      <c r="R642" t="s">
        <v>49</v>
      </c>
      <c r="S642" t="s">
        <v>41</v>
      </c>
      <c r="T642">
        <v>4.9000000000000004</v>
      </c>
    </row>
    <row r="643" spans="1:20">
      <c r="A643" t="s">
        <v>711</v>
      </c>
      <c r="B643" s="3">
        <v>45761</v>
      </c>
      <c r="C643" t="s">
        <v>21</v>
      </c>
      <c r="D643" t="s">
        <v>26</v>
      </c>
      <c r="E643" t="s">
        <v>68</v>
      </c>
      <c r="F643" t="s">
        <v>20</v>
      </c>
      <c r="G643" t="s">
        <v>31</v>
      </c>
      <c r="H643">
        <v>18</v>
      </c>
      <c r="I643">
        <v>1467.93</v>
      </c>
      <c r="J643">
        <v>762.56</v>
      </c>
      <c r="K643">
        <f t="shared" si="60"/>
        <v>26422.74</v>
      </c>
      <c r="L643">
        <v>0.15</v>
      </c>
      <c r="M643">
        <f t="shared" si="61"/>
        <v>3963.4110000000001</v>
      </c>
      <c r="N643">
        <f t="shared" si="62"/>
        <v>22459.329000000002</v>
      </c>
      <c r="O643">
        <f t="shared" si="63"/>
        <v>13726.079999999998</v>
      </c>
      <c r="P643">
        <f t="shared" si="64"/>
        <v>8733.2490000000034</v>
      </c>
      <c r="Q643">
        <f t="shared" si="65"/>
        <v>38.884728034394982</v>
      </c>
      <c r="R643" t="s">
        <v>49</v>
      </c>
      <c r="S643" t="s">
        <v>47</v>
      </c>
      <c r="T643">
        <v>3.2</v>
      </c>
    </row>
    <row r="644" spans="1:20">
      <c r="A644" t="s">
        <v>712</v>
      </c>
      <c r="B644" s="3">
        <v>45762</v>
      </c>
      <c r="C644" t="s">
        <v>21</v>
      </c>
      <c r="D644" t="s">
        <v>28</v>
      </c>
      <c r="E644" t="s">
        <v>86</v>
      </c>
      <c r="F644" t="s">
        <v>22</v>
      </c>
      <c r="G644" t="s">
        <v>35</v>
      </c>
      <c r="H644">
        <v>17</v>
      </c>
      <c r="I644">
        <v>1283.0899999999999</v>
      </c>
      <c r="J644">
        <v>972.21</v>
      </c>
      <c r="K644">
        <f t="shared" si="60"/>
        <v>21812.53</v>
      </c>
      <c r="L644">
        <v>0.05</v>
      </c>
      <c r="M644">
        <f t="shared" si="61"/>
        <v>1090.6265000000001</v>
      </c>
      <c r="N644">
        <f t="shared" si="62"/>
        <v>20721.9035</v>
      </c>
      <c r="O644">
        <f t="shared" si="63"/>
        <v>16527.57</v>
      </c>
      <c r="P644">
        <f t="shared" si="64"/>
        <v>4194.3335000000006</v>
      </c>
      <c r="Q644">
        <f t="shared" si="65"/>
        <v>20.241062796185691</v>
      </c>
      <c r="R644" t="s">
        <v>50</v>
      </c>
      <c r="S644" t="s">
        <v>43</v>
      </c>
      <c r="T644">
        <v>4</v>
      </c>
    </row>
    <row r="645" spans="1:20">
      <c r="A645" t="s">
        <v>713</v>
      </c>
      <c r="B645" s="3">
        <v>45762</v>
      </c>
      <c r="C645" t="s">
        <v>21</v>
      </c>
      <c r="D645" t="s">
        <v>26</v>
      </c>
      <c r="E645" t="s">
        <v>68</v>
      </c>
      <c r="F645" t="s">
        <v>24</v>
      </c>
      <c r="G645" t="s">
        <v>46</v>
      </c>
      <c r="H645">
        <v>16</v>
      </c>
      <c r="I645">
        <v>197.84</v>
      </c>
      <c r="J645">
        <v>125.53</v>
      </c>
      <c r="K645">
        <f t="shared" si="60"/>
        <v>3165.44</v>
      </c>
      <c r="L645">
        <v>0.1</v>
      </c>
      <c r="M645">
        <f t="shared" si="61"/>
        <v>316.54400000000004</v>
      </c>
      <c r="N645">
        <f t="shared" si="62"/>
        <v>2848.8960000000002</v>
      </c>
      <c r="O645">
        <f t="shared" si="63"/>
        <v>2008.48</v>
      </c>
      <c r="P645">
        <f t="shared" si="64"/>
        <v>840.41600000000017</v>
      </c>
      <c r="Q645">
        <f t="shared" si="65"/>
        <v>29.499707957047228</v>
      </c>
      <c r="R645" t="s">
        <v>50</v>
      </c>
      <c r="S645" t="s">
        <v>43</v>
      </c>
      <c r="T645">
        <v>3.3</v>
      </c>
    </row>
    <row r="646" spans="1:20">
      <c r="A646" t="s">
        <v>714</v>
      </c>
      <c r="B646" s="3">
        <v>45762</v>
      </c>
      <c r="C646" t="s">
        <v>21</v>
      </c>
      <c r="D646" t="s">
        <v>26</v>
      </c>
      <c r="E646" t="s">
        <v>70</v>
      </c>
      <c r="F646" t="s">
        <v>24</v>
      </c>
      <c r="G646" t="s">
        <v>46</v>
      </c>
      <c r="H646">
        <v>5</v>
      </c>
      <c r="I646">
        <v>91.96</v>
      </c>
      <c r="J646">
        <v>62.17</v>
      </c>
      <c r="K646">
        <f t="shared" si="60"/>
        <v>459.79999999999995</v>
      </c>
      <c r="L646">
        <v>0</v>
      </c>
      <c r="M646">
        <f t="shared" si="61"/>
        <v>0</v>
      </c>
      <c r="N646">
        <f t="shared" si="62"/>
        <v>459.79999999999995</v>
      </c>
      <c r="O646">
        <f t="shared" si="63"/>
        <v>310.85000000000002</v>
      </c>
      <c r="P646">
        <f t="shared" si="64"/>
        <v>148.94999999999993</v>
      </c>
      <c r="Q646">
        <f t="shared" si="65"/>
        <v>32.39451935624183</v>
      </c>
      <c r="R646" t="s">
        <v>49</v>
      </c>
      <c r="S646" t="s">
        <v>45</v>
      </c>
      <c r="T646">
        <v>4.3</v>
      </c>
    </row>
    <row r="647" spans="1:20">
      <c r="A647" t="s">
        <v>715</v>
      </c>
      <c r="B647" s="3">
        <v>45765</v>
      </c>
      <c r="C647" t="s">
        <v>21</v>
      </c>
      <c r="D647" t="s">
        <v>32</v>
      </c>
      <c r="E647" t="s">
        <v>70</v>
      </c>
      <c r="F647" t="s">
        <v>22</v>
      </c>
      <c r="G647" t="s">
        <v>35</v>
      </c>
      <c r="H647">
        <v>41</v>
      </c>
      <c r="I647">
        <v>579.54</v>
      </c>
      <c r="J647">
        <v>360.41</v>
      </c>
      <c r="K647">
        <f t="shared" si="60"/>
        <v>23761.14</v>
      </c>
      <c r="L647">
        <v>0.15</v>
      </c>
      <c r="M647">
        <f t="shared" si="61"/>
        <v>3564.1709999999998</v>
      </c>
      <c r="N647">
        <f t="shared" si="62"/>
        <v>20196.969000000001</v>
      </c>
      <c r="O647">
        <f t="shared" si="63"/>
        <v>14776.810000000001</v>
      </c>
      <c r="P647">
        <f t="shared" si="64"/>
        <v>5420.1589999999997</v>
      </c>
      <c r="Q647">
        <f t="shared" si="65"/>
        <v>26.836497100134181</v>
      </c>
      <c r="R647" t="s">
        <v>49</v>
      </c>
      <c r="S647" t="s">
        <v>41</v>
      </c>
      <c r="T647">
        <v>3.1</v>
      </c>
    </row>
    <row r="648" spans="1:20">
      <c r="A648" t="s">
        <v>716</v>
      </c>
      <c r="B648" s="3">
        <v>45765</v>
      </c>
      <c r="C648" t="s">
        <v>21</v>
      </c>
      <c r="D648" t="s">
        <v>30</v>
      </c>
      <c r="E648" t="s">
        <v>70</v>
      </c>
      <c r="F648" t="s">
        <v>23</v>
      </c>
      <c r="G648" t="s">
        <v>37</v>
      </c>
      <c r="H648">
        <v>7</v>
      </c>
      <c r="I648">
        <v>442.37</v>
      </c>
      <c r="J648">
        <v>336.63</v>
      </c>
      <c r="K648">
        <f t="shared" si="60"/>
        <v>3096.59</v>
      </c>
      <c r="L648">
        <v>0</v>
      </c>
      <c r="M648">
        <f t="shared" si="61"/>
        <v>0</v>
      </c>
      <c r="N648">
        <f t="shared" si="62"/>
        <v>3096.59</v>
      </c>
      <c r="O648">
        <f t="shared" si="63"/>
        <v>2356.41</v>
      </c>
      <c r="P648">
        <f t="shared" si="64"/>
        <v>740.18000000000029</v>
      </c>
      <c r="Q648">
        <f t="shared" si="65"/>
        <v>23.903067567873055</v>
      </c>
      <c r="R648" t="s">
        <v>51</v>
      </c>
      <c r="S648" t="s">
        <v>43</v>
      </c>
      <c r="T648">
        <v>4.0999999999999996</v>
      </c>
    </row>
    <row r="649" spans="1:20">
      <c r="A649" t="s">
        <v>717</v>
      </c>
      <c r="B649" s="3">
        <v>45766</v>
      </c>
      <c r="C649" t="s">
        <v>21</v>
      </c>
      <c r="D649" t="s">
        <v>28</v>
      </c>
      <c r="E649" t="s">
        <v>68</v>
      </c>
      <c r="F649" t="s">
        <v>23</v>
      </c>
      <c r="G649" t="s">
        <v>44</v>
      </c>
      <c r="H649">
        <v>47</v>
      </c>
      <c r="I649">
        <v>389.44</v>
      </c>
      <c r="J649">
        <v>291.35000000000002</v>
      </c>
      <c r="K649">
        <f t="shared" si="60"/>
        <v>18303.68</v>
      </c>
      <c r="L649">
        <v>0.15</v>
      </c>
      <c r="M649">
        <f t="shared" si="61"/>
        <v>2745.5520000000001</v>
      </c>
      <c r="N649">
        <f t="shared" si="62"/>
        <v>15558.128000000001</v>
      </c>
      <c r="O649">
        <f t="shared" si="63"/>
        <v>13693.45</v>
      </c>
      <c r="P649">
        <f t="shared" si="64"/>
        <v>1864.6779999999999</v>
      </c>
      <c r="Q649">
        <f t="shared" si="65"/>
        <v>11.985233699067136</v>
      </c>
      <c r="R649" t="s">
        <v>50</v>
      </c>
      <c r="S649" t="s">
        <v>41</v>
      </c>
      <c r="T649">
        <v>3.7</v>
      </c>
    </row>
    <row r="650" spans="1:20">
      <c r="A650" t="s">
        <v>718</v>
      </c>
      <c r="B650" s="3">
        <v>45766</v>
      </c>
      <c r="C650" t="s">
        <v>21</v>
      </c>
      <c r="D650" t="s">
        <v>30</v>
      </c>
      <c r="E650" t="s">
        <v>86</v>
      </c>
      <c r="F650" t="s">
        <v>24</v>
      </c>
      <c r="G650" t="s">
        <v>40</v>
      </c>
      <c r="H650">
        <v>16</v>
      </c>
      <c r="I650">
        <v>817.25</v>
      </c>
      <c r="J650">
        <v>443.08</v>
      </c>
      <c r="K650">
        <f t="shared" si="60"/>
        <v>13076</v>
      </c>
      <c r="L650">
        <v>0.15</v>
      </c>
      <c r="M650">
        <f t="shared" si="61"/>
        <v>1961.3999999999999</v>
      </c>
      <c r="N650">
        <f t="shared" si="62"/>
        <v>11114.6</v>
      </c>
      <c r="O650">
        <f t="shared" si="63"/>
        <v>7089.28</v>
      </c>
      <c r="P650">
        <f t="shared" si="64"/>
        <v>4025.3200000000006</v>
      </c>
      <c r="Q650">
        <f t="shared" si="65"/>
        <v>36.216508016482827</v>
      </c>
      <c r="R650" t="s">
        <v>49</v>
      </c>
      <c r="S650" t="s">
        <v>43</v>
      </c>
      <c r="T650">
        <v>4.7</v>
      </c>
    </row>
    <row r="651" spans="1:20">
      <c r="A651" t="s">
        <v>719</v>
      </c>
      <c r="B651" s="3">
        <v>45766</v>
      </c>
      <c r="C651" t="s">
        <v>21</v>
      </c>
      <c r="D651" t="s">
        <v>26</v>
      </c>
      <c r="E651" t="s">
        <v>68</v>
      </c>
      <c r="F651" t="s">
        <v>24</v>
      </c>
      <c r="G651" t="s">
        <v>40</v>
      </c>
      <c r="H651">
        <v>29</v>
      </c>
      <c r="I651">
        <v>577.87</v>
      </c>
      <c r="J651">
        <v>346.9</v>
      </c>
      <c r="K651">
        <f t="shared" si="60"/>
        <v>16758.23</v>
      </c>
      <c r="L651">
        <v>0.1</v>
      </c>
      <c r="M651">
        <f t="shared" si="61"/>
        <v>1675.8230000000001</v>
      </c>
      <c r="N651">
        <f t="shared" si="62"/>
        <v>15082.406999999999</v>
      </c>
      <c r="O651">
        <f t="shared" si="63"/>
        <v>10060.099999999999</v>
      </c>
      <c r="P651">
        <f t="shared" si="64"/>
        <v>5022.3070000000007</v>
      </c>
      <c r="Q651">
        <f t="shared" si="65"/>
        <v>33.299108026988009</v>
      </c>
      <c r="R651" t="s">
        <v>49</v>
      </c>
      <c r="S651" t="s">
        <v>47</v>
      </c>
      <c r="T651">
        <v>4.3</v>
      </c>
    </row>
    <row r="652" spans="1:20">
      <c r="A652" t="s">
        <v>720</v>
      </c>
      <c r="B652" s="3">
        <v>45766</v>
      </c>
      <c r="C652" t="s">
        <v>21</v>
      </c>
      <c r="D652" t="s">
        <v>26</v>
      </c>
      <c r="E652" t="s">
        <v>68</v>
      </c>
      <c r="F652" t="s">
        <v>24</v>
      </c>
      <c r="G652" t="s">
        <v>46</v>
      </c>
      <c r="H652">
        <v>26</v>
      </c>
      <c r="I652">
        <v>700.35</v>
      </c>
      <c r="J652">
        <v>478.07</v>
      </c>
      <c r="K652">
        <f t="shared" si="60"/>
        <v>18209.100000000002</v>
      </c>
      <c r="L652">
        <v>0</v>
      </c>
      <c r="M652">
        <f t="shared" si="61"/>
        <v>0</v>
      </c>
      <c r="N652">
        <f t="shared" si="62"/>
        <v>18209.100000000002</v>
      </c>
      <c r="O652">
        <f t="shared" si="63"/>
        <v>12429.82</v>
      </c>
      <c r="P652">
        <f t="shared" si="64"/>
        <v>5779.2800000000025</v>
      </c>
      <c r="Q652">
        <f t="shared" si="65"/>
        <v>31.738416506032706</v>
      </c>
      <c r="R652" t="s">
        <v>49</v>
      </c>
      <c r="S652" t="s">
        <v>45</v>
      </c>
      <c r="T652">
        <v>4.7</v>
      </c>
    </row>
    <row r="653" spans="1:20">
      <c r="A653" t="s">
        <v>721</v>
      </c>
      <c r="B653" s="3">
        <v>45767</v>
      </c>
      <c r="C653" t="s">
        <v>21</v>
      </c>
      <c r="D653" t="s">
        <v>28</v>
      </c>
      <c r="E653" t="s">
        <v>70</v>
      </c>
      <c r="F653" t="s">
        <v>24</v>
      </c>
      <c r="G653" t="s">
        <v>29</v>
      </c>
      <c r="H653">
        <v>32</v>
      </c>
      <c r="I653">
        <v>424.96</v>
      </c>
      <c r="J653">
        <v>251.82</v>
      </c>
      <c r="K653">
        <f t="shared" si="60"/>
        <v>13598.72</v>
      </c>
      <c r="L653">
        <v>0</v>
      </c>
      <c r="M653">
        <f t="shared" si="61"/>
        <v>0</v>
      </c>
      <c r="N653">
        <f t="shared" si="62"/>
        <v>13598.72</v>
      </c>
      <c r="O653">
        <f t="shared" si="63"/>
        <v>8058.24</v>
      </c>
      <c r="P653">
        <f t="shared" si="64"/>
        <v>5540.48</v>
      </c>
      <c r="Q653">
        <f t="shared" si="65"/>
        <v>40.742658132530117</v>
      </c>
      <c r="R653" t="s">
        <v>49</v>
      </c>
      <c r="S653" t="s">
        <v>41</v>
      </c>
      <c r="T653">
        <v>3.5</v>
      </c>
    </row>
    <row r="654" spans="1:20">
      <c r="A654" t="s">
        <v>722</v>
      </c>
      <c r="B654" s="3">
        <v>45767</v>
      </c>
      <c r="C654" t="s">
        <v>21</v>
      </c>
      <c r="D654" t="s">
        <v>26</v>
      </c>
      <c r="E654" t="s">
        <v>68</v>
      </c>
      <c r="F654" t="s">
        <v>22</v>
      </c>
      <c r="G654" t="s">
        <v>33</v>
      </c>
      <c r="H654">
        <v>49</v>
      </c>
      <c r="I654">
        <v>601.95000000000005</v>
      </c>
      <c r="J654">
        <v>410.91</v>
      </c>
      <c r="K654">
        <f t="shared" si="60"/>
        <v>29495.550000000003</v>
      </c>
      <c r="L654">
        <v>0</v>
      </c>
      <c r="M654">
        <f t="shared" si="61"/>
        <v>0</v>
      </c>
      <c r="N654">
        <f t="shared" si="62"/>
        <v>29495.550000000003</v>
      </c>
      <c r="O654">
        <f t="shared" si="63"/>
        <v>20134.59</v>
      </c>
      <c r="P654">
        <f t="shared" si="64"/>
        <v>9360.9600000000028</v>
      </c>
      <c r="Q654">
        <f t="shared" si="65"/>
        <v>31.736855220533272</v>
      </c>
      <c r="R654" t="s">
        <v>49</v>
      </c>
      <c r="S654" t="s">
        <v>45</v>
      </c>
      <c r="T654">
        <v>3.9</v>
      </c>
    </row>
    <row r="655" spans="1:20">
      <c r="A655" t="s">
        <v>723</v>
      </c>
      <c r="B655" s="3">
        <v>45768</v>
      </c>
      <c r="C655" t="s">
        <v>21</v>
      </c>
      <c r="D655" t="s">
        <v>30</v>
      </c>
      <c r="E655" t="s">
        <v>70</v>
      </c>
      <c r="F655" t="s">
        <v>23</v>
      </c>
      <c r="G655" t="s">
        <v>37</v>
      </c>
      <c r="H655">
        <v>49</v>
      </c>
      <c r="I655">
        <v>843.16</v>
      </c>
      <c r="J655">
        <v>622.41</v>
      </c>
      <c r="K655">
        <f t="shared" si="60"/>
        <v>41314.839999999997</v>
      </c>
      <c r="L655">
        <v>0</v>
      </c>
      <c r="M655">
        <f t="shared" si="61"/>
        <v>0</v>
      </c>
      <c r="N655">
        <f t="shared" si="62"/>
        <v>41314.839999999997</v>
      </c>
      <c r="O655">
        <f t="shared" si="63"/>
        <v>30498.09</v>
      </c>
      <c r="P655">
        <f t="shared" si="64"/>
        <v>10816.749999999996</v>
      </c>
      <c r="Q655">
        <f t="shared" si="65"/>
        <v>26.181270458750411</v>
      </c>
      <c r="R655" t="s">
        <v>49</v>
      </c>
      <c r="S655" t="s">
        <v>41</v>
      </c>
      <c r="T655">
        <v>3.3</v>
      </c>
    </row>
    <row r="656" spans="1:20">
      <c r="A656" t="s">
        <v>724</v>
      </c>
      <c r="B656" s="3">
        <v>45768</v>
      </c>
      <c r="C656" t="s">
        <v>21</v>
      </c>
      <c r="D656" t="s">
        <v>26</v>
      </c>
      <c r="E656" t="s">
        <v>68</v>
      </c>
      <c r="F656" t="s">
        <v>20</v>
      </c>
      <c r="G656" t="s">
        <v>31</v>
      </c>
      <c r="H656">
        <v>37</v>
      </c>
      <c r="I656">
        <v>286.69</v>
      </c>
      <c r="J656">
        <v>141.08000000000001</v>
      </c>
      <c r="K656">
        <f t="shared" si="60"/>
        <v>10607.53</v>
      </c>
      <c r="L656">
        <v>0</v>
      </c>
      <c r="M656">
        <f t="shared" si="61"/>
        <v>0</v>
      </c>
      <c r="N656">
        <f t="shared" si="62"/>
        <v>10607.53</v>
      </c>
      <c r="O656">
        <f t="shared" si="63"/>
        <v>5219.96</v>
      </c>
      <c r="P656">
        <f t="shared" si="64"/>
        <v>5387.5700000000006</v>
      </c>
      <c r="Q656">
        <f t="shared" si="65"/>
        <v>50.790051972513872</v>
      </c>
      <c r="R656" t="s">
        <v>50</v>
      </c>
      <c r="S656" t="s">
        <v>41</v>
      </c>
      <c r="T656">
        <v>4.5</v>
      </c>
    </row>
    <row r="657" spans="1:20">
      <c r="A657" t="s">
        <v>725</v>
      </c>
      <c r="B657" s="3">
        <v>45769</v>
      </c>
      <c r="C657" t="s">
        <v>21</v>
      </c>
      <c r="D657" t="s">
        <v>28</v>
      </c>
      <c r="E657" t="s">
        <v>68</v>
      </c>
      <c r="F657" t="s">
        <v>20</v>
      </c>
      <c r="G657" t="s">
        <v>36</v>
      </c>
      <c r="H657">
        <v>16</v>
      </c>
      <c r="I657">
        <v>879.91</v>
      </c>
      <c r="J657">
        <v>499.88</v>
      </c>
      <c r="K657">
        <f t="shared" si="60"/>
        <v>14078.56</v>
      </c>
      <c r="L657">
        <v>0.2</v>
      </c>
      <c r="M657">
        <f t="shared" si="61"/>
        <v>2815.712</v>
      </c>
      <c r="N657">
        <f t="shared" si="62"/>
        <v>11262.848</v>
      </c>
      <c r="O657">
        <f t="shared" si="63"/>
        <v>7998.08</v>
      </c>
      <c r="P657">
        <f t="shared" si="64"/>
        <v>3264.768</v>
      </c>
      <c r="Q657">
        <f t="shared" si="65"/>
        <v>28.987055494311921</v>
      </c>
      <c r="R657" t="s">
        <v>49</v>
      </c>
      <c r="S657" t="s">
        <v>41</v>
      </c>
      <c r="T657">
        <v>3</v>
      </c>
    </row>
    <row r="658" spans="1:20">
      <c r="A658" t="s">
        <v>726</v>
      </c>
      <c r="B658" s="3">
        <v>45771</v>
      </c>
      <c r="C658" t="s">
        <v>21</v>
      </c>
      <c r="D658" t="s">
        <v>28</v>
      </c>
      <c r="E658" t="s">
        <v>70</v>
      </c>
      <c r="F658" t="s">
        <v>23</v>
      </c>
      <c r="G658" t="s">
        <v>38</v>
      </c>
      <c r="H658">
        <v>5</v>
      </c>
      <c r="I658">
        <v>1365.51</v>
      </c>
      <c r="J658">
        <v>1102.56</v>
      </c>
      <c r="K658">
        <f t="shared" si="60"/>
        <v>6827.55</v>
      </c>
      <c r="L658">
        <v>0.05</v>
      </c>
      <c r="M658">
        <f t="shared" si="61"/>
        <v>341.37750000000005</v>
      </c>
      <c r="N658">
        <f t="shared" si="62"/>
        <v>6486.1725000000006</v>
      </c>
      <c r="O658">
        <f t="shared" si="63"/>
        <v>5512.7999999999993</v>
      </c>
      <c r="P658">
        <f t="shared" si="64"/>
        <v>973.37250000000131</v>
      </c>
      <c r="Q658">
        <f t="shared" si="65"/>
        <v>15.006885802065876</v>
      </c>
      <c r="R658" t="s">
        <v>50</v>
      </c>
      <c r="S658" t="s">
        <v>41</v>
      </c>
      <c r="T658">
        <v>4.4000000000000004</v>
      </c>
    </row>
    <row r="659" spans="1:20">
      <c r="A659" t="s">
        <v>727</v>
      </c>
      <c r="B659" s="3">
        <v>45772</v>
      </c>
      <c r="C659" t="s">
        <v>21</v>
      </c>
      <c r="D659" t="s">
        <v>32</v>
      </c>
      <c r="E659" t="s">
        <v>68</v>
      </c>
      <c r="F659" t="s">
        <v>22</v>
      </c>
      <c r="G659" t="s">
        <v>35</v>
      </c>
      <c r="H659">
        <v>22</v>
      </c>
      <c r="I659">
        <v>199.8</v>
      </c>
      <c r="J659">
        <v>145.33000000000001</v>
      </c>
      <c r="K659">
        <f t="shared" si="60"/>
        <v>4395.6000000000004</v>
      </c>
      <c r="L659">
        <v>0</v>
      </c>
      <c r="M659">
        <f t="shared" si="61"/>
        <v>0</v>
      </c>
      <c r="N659">
        <f t="shared" si="62"/>
        <v>4395.6000000000004</v>
      </c>
      <c r="O659">
        <f t="shared" si="63"/>
        <v>3197.26</v>
      </c>
      <c r="P659">
        <f t="shared" si="64"/>
        <v>1198.3400000000001</v>
      </c>
      <c r="Q659">
        <f t="shared" si="65"/>
        <v>27.262262262262265</v>
      </c>
      <c r="R659" t="s">
        <v>51</v>
      </c>
      <c r="S659" t="s">
        <v>43</v>
      </c>
      <c r="T659">
        <v>4.8</v>
      </c>
    </row>
    <row r="660" spans="1:20">
      <c r="A660" t="s">
        <v>728</v>
      </c>
      <c r="B660" s="3">
        <v>45772</v>
      </c>
      <c r="C660" t="s">
        <v>21</v>
      </c>
      <c r="D660" t="s">
        <v>30</v>
      </c>
      <c r="E660" t="s">
        <v>68</v>
      </c>
      <c r="F660" t="s">
        <v>23</v>
      </c>
      <c r="G660" t="s">
        <v>38</v>
      </c>
      <c r="H660">
        <v>5</v>
      </c>
      <c r="I660">
        <v>1313.77</v>
      </c>
      <c r="J660">
        <v>989.42</v>
      </c>
      <c r="K660">
        <f t="shared" si="60"/>
        <v>6568.85</v>
      </c>
      <c r="L660">
        <v>0</v>
      </c>
      <c r="M660">
        <f t="shared" si="61"/>
        <v>0</v>
      </c>
      <c r="N660">
        <f t="shared" si="62"/>
        <v>6568.85</v>
      </c>
      <c r="O660">
        <f t="shared" si="63"/>
        <v>4947.0999999999995</v>
      </c>
      <c r="P660">
        <f t="shared" si="64"/>
        <v>1621.7500000000009</v>
      </c>
      <c r="Q660">
        <f t="shared" si="65"/>
        <v>24.688491897364088</v>
      </c>
      <c r="R660" t="s">
        <v>49</v>
      </c>
      <c r="S660" t="s">
        <v>43</v>
      </c>
      <c r="T660">
        <v>3.2</v>
      </c>
    </row>
    <row r="661" spans="1:20">
      <c r="A661" t="s">
        <v>729</v>
      </c>
      <c r="B661" s="3">
        <v>45772</v>
      </c>
      <c r="C661" t="s">
        <v>21</v>
      </c>
      <c r="D661" t="s">
        <v>32</v>
      </c>
      <c r="E661" t="s">
        <v>70</v>
      </c>
      <c r="F661" t="s">
        <v>24</v>
      </c>
      <c r="G661" t="s">
        <v>46</v>
      </c>
      <c r="H661">
        <v>9</v>
      </c>
      <c r="I661">
        <v>870.36</v>
      </c>
      <c r="J661">
        <v>509.9</v>
      </c>
      <c r="K661">
        <f t="shared" si="60"/>
        <v>7833.24</v>
      </c>
      <c r="L661">
        <v>0.05</v>
      </c>
      <c r="M661">
        <f t="shared" si="61"/>
        <v>391.66200000000003</v>
      </c>
      <c r="N661">
        <f t="shared" si="62"/>
        <v>7441.5779999999995</v>
      </c>
      <c r="O661">
        <f t="shared" si="63"/>
        <v>4589.0999999999995</v>
      </c>
      <c r="P661">
        <f t="shared" si="64"/>
        <v>2852.4780000000001</v>
      </c>
      <c r="Q661">
        <f t="shared" si="65"/>
        <v>38.331628049857173</v>
      </c>
      <c r="R661" t="s">
        <v>50</v>
      </c>
      <c r="S661" t="s">
        <v>47</v>
      </c>
      <c r="T661">
        <v>3.7</v>
      </c>
    </row>
    <row r="662" spans="1:20">
      <c r="A662" t="s">
        <v>730</v>
      </c>
      <c r="B662" s="3">
        <v>45773</v>
      </c>
      <c r="C662" t="s">
        <v>21</v>
      </c>
      <c r="D662" t="s">
        <v>26</v>
      </c>
      <c r="E662" t="s">
        <v>68</v>
      </c>
      <c r="F662" t="s">
        <v>24</v>
      </c>
      <c r="G662" t="s">
        <v>46</v>
      </c>
      <c r="H662">
        <v>38</v>
      </c>
      <c r="I662">
        <v>1023.58</v>
      </c>
      <c r="J662">
        <v>643.61</v>
      </c>
      <c r="K662">
        <f t="shared" si="60"/>
        <v>38896.04</v>
      </c>
      <c r="L662">
        <v>0.1</v>
      </c>
      <c r="M662">
        <f t="shared" si="61"/>
        <v>3889.6040000000003</v>
      </c>
      <c r="N662">
        <f t="shared" si="62"/>
        <v>35006.436000000002</v>
      </c>
      <c r="O662">
        <f t="shared" si="63"/>
        <v>24457.18</v>
      </c>
      <c r="P662">
        <f t="shared" si="64"/>
        <v>10549.256000000001</v>
      </c>
      <c r="Q662">
        <f t="shared" si="65"/>
        <v>30.135189997633582</v>
      </c>
      <c r="R662" t="s">
        <v>49</v>
      </c>
      <c r="S662" t="s">
        <v>43</v>
      </c>
      <c r="T662">
        <v>3.1</v>
      </c>
    </row>
    <row r="663" spans="1:20">
      <c r="A663" t="s">
        <v>731</v>
      </c>
      <c r="B663" s="3">
        <v>45775</v>
      </c>
      <c r="C663" t="s">
        <v>21</v>
      </c>
      <c r="D663" t="s">
        <v>30</v>
      </c>
      <c r="E663" t="s">
        <v>70</v>
      </c>
      <c r="F663" t="s">
        <v>20</v>
      </c>
      <c r="G663" t="s">
        <v>36</v>
      </c>
      <c r="H663">
        <v>46</v>
      </c>
      <c r="I663">
        <v>137.01</v>
      </c>
      <c r="J663">
        <v>48.42</v>
      </c>
      <c r="K663">
        <f t="shared" si="60"/>
        <v>6302.4599999999991</v>
      </c>
      <c r="L663">
        <v>0.05</v>
      </c>
      <c r="M663">
        <f t="shared" si="61"/>
        <v>315.12299999999999</v>
      </c>
      <c r="N663">
        <f t="shared" si="62"/>
        <v>5987.3369999999995</v>
      </c>
      <c r="O663">
        <f t="shared" si="63"/>
        <v>2227.3200000000002</v>
      </c>
      <c r="P663">
        <f t="shared" si="64"/>
        <v>3760.0169999999994</v>
      </c>
      <c r="Q663">
        <f t="shared" si="65"/>
        <v>62.799488320099563</v>
      </c>
      <c r="R663" t="s">
        <v>51</v>
      </c>
      <c r="S663" t="s">
        <v>43</v>
      </c>
      <c r="T663">
        <v>3.7</v>
      </c>
    </row>
    <row r="664" spans="1:20">
      <c r="A664" t="s">
        <v>732</v>
      </c>
      <c r="B664" s="3">
        <v>45775</v>
      </c>
      <c r="C664" t="s">
        <v>21</v>
      </c>
      <c r="D664" t="s">
        <v>26</v>
      </c>
      <c r="E664" t="s">
        <v>68</v>
      </c>
      <c r="F664" t="s">
        <v>20</v>
      </c>
      <c r="G664" t="s">
        <v>36</v>
      </c>
      <c r="H664">
        <v>48</v>
      </c>
      <c r="I664">
        <v>1492.53</v>
      </c>
      <c r="J664">
        <v>669.48</v>
      </c>
      <c r="K664">
        <f t="shared" si="60"/>
        <v>71641.440000000002</v>
      </c>
      <c r="L664">
        <v>0.2</v>
      </c>
      <c r="M664">
        <f t="shared" si="61"/>
        <v>14328.288</v>
      </c>
      <c r="N664">
        <f t="shared" si="62"/>
        <v>57313.152000000002</v>
      </c>
      <c r="O664">
        <f t="shared" si="63"/>
        <v>32135.040000000001</v>
      </c>
      <c r="P664">
        <f t="shared" si="64"/>
        <v>25178.112000000001</v>
      </c>
      <c r="Q664">
        <f t="shared" si="65"/>
        <v>43.930775260798775</v>
      </c>
      <c r="R664" t="s">
        <v>49</v>
      </c>
      <c r="S664" t="s">
        <v>41</v>
      </c>
      <c r="T664">
        <v>3.2</v>
      </c>
    </row>
    <row r="665" spans="1:20">
      <c r="A665" t="s">
        <v>733</v>
      </c>
      <c r="B665" s="3">
        <v>45776</v>
      </c>
      <c r="C665" t="s">
        <v>21</v>
      </c>
      <c r="D665" t="s">
        <v>30</v>
      </c>
      <c r="E665" t="s">
        <v>70</v>
      </c>
      <c r="F665" t="s">
        <v>20</v>
      </c>
      <c r="G665" t="s">
        <v>31</v>
      </c>
      <c r="H665">
        <v>22</v>
      </c>
      <c r="I665">
        <v>1278.8499999999999</v>
      </c>
      <c r="J665">
        <v>691.47</v>
      </c>
      <c r="K665">
        <f t="shared" si="60"/>
        <v>28134.699999999997</v>
      </c>
      <c r="L665">
        <v>0.05</v>
      </c>
      <c r="M665">
        <f t="shared" si="61"/>
        <v>1406.7349999999999</v>
      </c>
      <c r="N665">
        <f t="shared" si="62"/>
        <v>26727.964999999997</v>
      </c>
      <c r="O665">
        <f t="shared" si="63"/>
        <v>15212.34</v>
      </c>
      <c r="P665">
        <f t="shared" si="64"/>
        <v>11515.624999999996</v>
      </c>
      <c r="Q665">
        <f t="shared" si="65"/>
        <v>43.084555820093293</v>
      </c>
      <c r="R665" t="s">
        <v>50</v>
      </c>
      <c r="S665" t="s">
        <v>41</v>
      </c>
      <c r="T665">
        <v>3.7</v>
      </c>
    </row>
    <row r="666" spans="1:20">
      <c r="A666" t="s">
        <v>734</v>
      </c>
      <c r="B666" s="3">
        <v>45777</v>
      </c>
      <c r="C666" t="s">
        <v>21</v>
      </c>
      <c r="D666" t="s">
        <v>32</v>
      </c>
      <c r="E666" t="s">
        <v>70</v>
      </c>
      <c r="F666" t="s">
        <v>20</v>
      </c>
      <c r="G666" t="s">
        <v>36</v>
      </c>
      <c r="H666">
        <v>50</v>
      </c>
      <c r="I666">
        <v>1257.5899999999999</v>
      </c>
      <c r="J666">
        <v>722.55</v>
      </c>
      <c r="K666">
        <f t="shared" si="60"/>
        <v>62879.499999999993</v>
      </c>
      <c r="L666">
        <v>0.25</v>
      </c>
      <c r="M666">
        <f t="shared" si="61"/>
        <v>15719.874999999998</v>
      </c>
      <c r="N666">
        <f t="shared" si="62"/>
        <v>47159.624999999993</v>
      </c>
      <c r="O666">
        <f t="shared" si="63"/>
        <v>36127.5</v>
      </c>
      <c r="P666">
        <f t="shared" si="64"/>
        <v>11032.124999999993</v>
      </c>
      <c r="Q666">
        <f t="shared" si="65"/>
        <v>23.393156752200625</v>
      </c>
      <c r="R666" t="s">
        <v>50</v>
      </c>
      <c r="S666" t="s">
        <v>43</v>
      </c>
      <c r="T666">
        <v>4.2</v>
      </c>
    </row>
    <row r="667" spans="1:20">
      <c r="A667" t="s">
        <v>735</v>
      </c>
      <c r="B667" s="3">
        <v>45777</v>
      </c>
      <c r="C667" t="s">
        <v>21</v>
      </c>
      <c r="D667" t="s">
        <v>26</v>
      </c>
      <c r="E667" t="s">
        <v>70</v>
      </c>
      <c r="F667" t="s">
        <v>24</v>
      </c>
      <c r="G667" t="s">
        <v>29</v>
      </c>
      <c r="H667">
        <v>38</v>
      </c>
      <c r="I667">
        <v>460.21</v>
      </c>
      <c r="J667">
        <v>308.08</v>
      </c>
      <c r="K667">
        <f t="shared" si="60"/>
        <v>17487.98</v>
      </c>
      <c r="L667">
        <v>0.2</v>
      </c>
      <c r="M667">
        <f t="shared" si="61"/>
        <v>3497.596</v>
      </c>
      <c r="N667">
        <f t="shared" si="62"/>
        <v>13990.384</v>
      </c>
      <c r="O667">
        <f t="shared" si="63"/>
        <v>11707.039999999999</v>
      </c>
      <c r="P667">
        <f t="shared" si="64"/>
        <v>2283.344000000001</v>
      </c>
      <c r="Q667">
        <f t="shared" si="65"/>
        <v>16.320810064970345</v>
      </c>
      <c r="R667" t="s">
        <v>49</v>
      </c>
      <c r="S667" t="s">
        <v>41</v>
      </c>
      <c r="T667">
        <v>3.5</v>
      </c>
    </row>
    <row r="668" spans="1:20">
      <c r="A668" t="s">
        <v>736</v>
      </c>
      <c r="B668" s="3">
        <v>45778</v>
      </c>
      <c r="C668" t="s">
        <v>21</v>
      </c>
      <c r="D668" t="s">
        <v>26</v>
      </c>
      <c r="E668" t="s">
        <v>68</v>
      </c>
      <c r="F668" t="s">
        <v>20</v>
      </c>
      <c r="G668" t="s">
        <v>34</v>
      </c>
      <c r="H668">
        <v>20</v>
      </c>
      <c r="I668">
        <v>766.72</v>
      </c>
      <c r="J668">
        <v>412.89</v>
      </c>
      <c r="K668">
        <f t="shared" si="60"/>
        <v>15334.400000000001</v>
      </c>
      <c r="L668">
        <v>0</v>
      </c>
      <c r="M668">
        <f t="shared" si="61"/>
        <v>0</v>
      </c>
      <c r="N668">
        <f t="shared" si="62"/>
        <v>15334.400000000001</v>
      </c>
      <c r="O668">
        <f t="shared" si="63"/>
        <v>8257.7999999999993</v>
      </c>
      <c r="P668">
        <f t="shared" si="64"/>
        <v>7076.6000000000022</v>
      </c>
      <c r="Q668">
        <f t="shared" si="65"/>
        <v>46.148528797996669</v>
      </c>
      <c r="R668" t="s">
        <v>49</v>
      </c>
      <c r="S668" t="s">
        <v>45</v>
      </c>
      <c r="T668">
        <v>3.5</v>
      </c>
    </row>
    <row r="669" spans="1:20">
      <c r="A669" t="s">
        <v>737</v>
      </c>
      <c r="B669" s="3">
        <v>45778</v>
      </c>
      <c r="C669" t="s">
        <v>21</v>
      </c>
      <c r="D669" t="s">
        <v>28</v>
      </c>
      <c r="E669" t="s">
        <v>70</v>
      </c>
      <c r="F669" t="s">
        <v>24</v>
      </c>
      <c r="G669" t="s">
        <v>46</v>
      </c>
      <c r="H669">
        <v>5</v>
      </c>
      <c r="I669">
        <v>100.99</v>
      </c>
      <c r="J669">
        <v>67.45</v>
      </c>
      <c r="K669">
        <f t="shared" si="60"/>
        <v>504.95</v>
      </c>
      <c r="L669">
        <v>0.2</v>
      </c>
      <c r="M669">
        <f t="shared" si="61"/>
        <v>100.99000000000001</v>
      </c>
      <c r="N669">
        <f t="shared" si="62"/>
        <v>403.96</v>
      </c>
      <c r="O669">
        <f t="shared" si="63"/>
        <v>337.25</v>
      </c>
      <c r="P669">
        <f t="shared" si="64"/>
        <v>66.70999999999998</v>
      </c>
      <c r="Q669">
        <f t="shared" si="65"/>
        <v>16.514011288246358</v>
      </c>
      <c r="R669" t="s">
        <v>50</v>
      </c>
      <c r="S669" t="s">
        <v>41</v>
      </c>
      <c r="T669">
        <v>3.8</v>
      </c>
    </row>
    <row r="670" spans="1:20">
      <c r="A670" t="s">
        <v>738</v>
      </c>
      <c r="B670" s="3">
        <v>45779</v>
      </c>
      <c r="C670" t="s">
        <v>21</v>
      </c>
      <c r="D670" t="s">
        <v>30</v>
      </c>
      <c r="E670" t="s">
        <v>70</v>
      </c>
      <c r="F670" t="s">
        <v>22</v>
      </c>
      <c r="G670" t="s">
        <v>35</v>
      </c>
      <c r="H670">
        <v>3</v>
      </c>
      <c r="I670">
        <v>840.66</v>
      </c>
      <c r="J670">
        <v>641.16</v>
      </c>
      <c r="K670">
        <f t="shared" si="60"/>
        <v>2521.98</v>
      </c>
      <c r="L670">
        <v>0</v>
      </c>
      <c r="M670">
        <f t="shared" si="61"/>
        <v>0</v>
      </c>
      <c r="N670">
        <f t="shared" si="62"/>
        <v>2521.98</v>
      </c>
      <c r="O670">
        <f t="shared" si="63"/>
        <v>1923.48</v>
      </c>
      <c r="P670">
        <f t="shared" si="64"/>
        <v>598.5</v>
      </c>
      <c r="Q670">
        <f t="shared" si="65"/>
        <v>23.731353936192992</v>
      </c>
      <c r="R670" t="s">
        <v>50</v>
      </c>
      <c r="S670" t="s">
        <v>41</v>
      </c>
      <c r="T670">
        <v>4.2</v>
      </c>
    </row>
    <row r="671" spans="1:20">
      <c r="A671" t="s">
        <v>739</v>
      </c>
      <c r="B671" s="3">
        <v>45779</v>
      </c>
      <c r="C671" t="s">
        <v>21</v>
      </c>
      <c r="D671" t="s">
        <v>26</v>
      </c>
      <c r="E671" t="s">
        <v>70</v>
      </c>
      <c r="F671" t="s">
        <v>23</v>
      </c>
      <c r="G671" t="s">
        <v>44</v>
      </c>
      <c r="H671">
        <v>31</v>
      </c>
      <c r="I671">
        <v>1190.0899999999999</v>
      </c>
      <c r="J671">
        <v>960.68</v>
      </c>
      <c r="K671">
        <f t="shared" si="60"/>
        <v>36892.79</v>
      </c>
      <c r="L671">
        <v>0.15</v>
      </c>
      <c r="M671">
        <f t="shared" si="61"/>
        <v>5533.9184999999998</v>
      </c>
      <c r="N671">
        <f t="shared" si="62"/>
        <v>31358.871500000001</v>
      </c>
      <c r="O671">
        <f t="shared" si="63"/>
        <v>29781.079999999998</v>
      </c>
      <c r="P671">
        <f t="shared" si="64"/>
        <v>1577.791500000003</v>
      </c>
      <c r="Q671">
        <f t="shared" si="65"/>
        <v>5.0314039521479685</v>
      </c>
      <c r="R671" t="s">
        <v>49</v>
      </c>
      <c r="S671" t="s">
        <v>41</v>
      </c>
      <c r="T671">
        <v>4.5</v>
      </c>
    </row>
    <row r="672" spans="1:20">
      <c r="A672" t="s">
        <v>740</v>
      </c>
      <c r="B672" s="3">
        <v>45780</v>
      </c>
      <c r="C672" t="s">
        <v>21</v>
      </c>
      <c r="D672" t="s">
        <v>32</v>
      </c>
      <c r="E672" t="s">
        <v>68</v>
      </c>
      <c r="F672" t="s">
        <v>20</v>
      </c>
      <c r="G672" t="s">
        <v>31</v>
      </c>
      <c r="H672">
        <v>48</v>
      </c>
      <c r="I672">
        <v>880.03</v>
      </c>
      <c r="J672">
        <v>489.87</v>
      </c>
      <c r="K672">
        <f t="shared" si="60"/>
        <v>42241.440000000002</v>
      </c>
      <c r="L672">
        <v>0</v>
      </c>
      <c r="M672">
        <f t="shared" si="61"/>
        <v>0</v>
      </c>
      <c r="N672">
        <f t="shared" si="62"/>
        <v>42241.440000000002</v>
      </c>
      <c r="O672">
        <f t="shared" si="63"/>
        <v>23513.760000000002</v>
      </c>
      <c r="P672">
        <f t="shared" si="64"/>
        <v>18727.68</v>
      </c>
      <c r="Q672">
        <f t="shared" si="65"/>
        <v>44.334852220947013</v>
      </c>
      <c r="R672" t="s">
        <v>50</v>
      </c>
      <c r="S672" t="s">
        <v>41</v>
      </c>
      <c r="T672">
        <v>3.8</v>
      </c>
    </row>
    <row r="673" spans="1:20">
      <c r="A673" t="s">
        <v>741</v>
      </c>
      <c r="B673" s="3">
        <v>45780</v>
      </c>
      <c r="C673" t="s">
        <v>21</v>
      </c>
      <c r="D673" t="s">
        <v>32</v>
      </c>
      <c r="E673" t="s">
        <v>86</v>
      </c>
      <c r="F673" t="s">
        <v>22</v>
      </c>
      <c r="G673" t="s">
        <v>33</v>
      </c>
      <c r="H673">
        <v>37</v>
      </c>
      <c r="I673">
        <v>742.04</v>
      </c>
      <c r="J673">
        <v>460.54</v>
      </c>
      <c r="K673">
        <f t="shared" si="60"/>
        <v>27455.48</v>
      </c>
      <c r="L673">
        <v>0.2</v>
      </c>
      <c r="M673">
        <f t="shared" si="61"/>
        <v>5491.0960000000005</v>
      </c>
      <c r="N673">
        <f t="shared" si="62"/>
        <v>21964.383999999998</v>
      </c>
      <c r="O673">
        <f t="shared" si="63"/>
        <v>17039.98</v>
      </c>
      <c r="P673">
        <f t="shared" si="64"/>
        <v>4924.4039999999986</v>
      </c>
      <c r="Q673">
        <f t="shared" si="65"/>
        <v>22.419950406986143</v>
      </c>
      <c r="R673" t="s">
        <v>49</v>
      </c>
      <c r="S673" t="s">
        <v>41</v>
      </c>
      <c r="T673">
        <v>3.9</v>
      </c>
    </row>
    <row r="674" spans="1:20">
      <c r="A674" t="s">
        <v>742</v>
      </c>
      <c r="B674" s="3">
        <v>45780</v>
      </c>
      <c r="C674" t="s">
        <v>21</v>
      </c>
      <c r="D674" t="s">
        <v>26</v>
      </c>
      <c r="E674" t="s">
        <v>70</v>
      </c>
      <c r="F674" t="s">
        <v>22</v>
      </c>
      <c r="G674" t="s">
        <v>42</v>
      </c>
      <c r="H674">
        <v>36</v>
      </c>
      <c r="I674">
        <v>208.8</v>
      </c>
      <c r="J674">
        <v>163.69</v>
      </c>
      <c r="K674">
        <f t="shared" si="60"/>
        <v>7516.8</v>
      </c>
      <c r="L674">
        <v>0.2</v>
      </c>
      <c r="M674">
        <f t="shared" si="61"/>
        <v>1503.3600000000001</v>
      </c>
      <c r="N674">
        <f t="shared" si="62"/>
        <v>6013.4400000000005</v>
      </c>
      <c r="O674">
        <f t="shared" si="63"/>
        <v>5892.84</v>
      </c>
      <c r="P674">
        <f t="shared" si="64"/>
        <v>120.60000000000036</v>
      </c>
      <c r="Q674">
        <f t="shared" si="65"/>
        <v>2.0055076628352548</v>
      </c>
      <c r="R674" t="s">
        <v>50</v>
      </c>
      <c r="S674" t="s">
        <v>45</v>
      </c>
      <c r="T674">
        <v>5</v>
      </c>
    </row>
    <row r="675" spans="1:20">
      <c r="A675" t="s">
        <v>743</v>
      </c>
      <c r="B675" s="3">
        <v>45781</v>
      </c>
      <c r="C675" t="s">
        <v>21</v>
      </c>
      <c r="D675" t="s">
        <v>26</v>
      </c>
      <c r="E675" t="s">
        <v>68</v>
      </c>
      <c r="F675" t="s">
        <v>23</v>
      </c>
      <c r="G675" t="s">
        <v>37</v>
      </c>
      <c r="H675">
        <v>31</v>
      </c>
      <c r="I675">
        <v>322.22000000000003</v>
      </c>
      <c r="J675">
        <v>248.54</v>
      </c>
      <c r="K675">
        <f t="shared" si="60"/>
        <v>9988.8200000000015</v>
      </c>
      <c r="L675">
        <v>0.15</v>
      </c>
      <c r="M675">
        <f t="shared" si="61"/>
        <v>1498.3230000000001</v>
      </c>
      <c r="N675">
        <f t="shared" si="62"/>
        <v>8490.4970000000012</v>
      </c>
      <c r="O675">
        <f t="shared" si="63"/>
        <v>7704.74</v>
      </c>
      <c r="P675">
        <f t="shared" si="64"/>
        <v>785.75700000000143</v>
      </c>
      <c r="Q675">
        <f t="shared" si="65"/>
        <v>9.2545465830798985</v>
      </c>
      <c r="R675" t="s">
        <v>49</v>
      </c>
      <c r="S675" t="s">
        <v>41</v>
      </c>
      <c r="T675">
        <v>4.9000000000000004</v>
      </c>
    </row>
    <row r="676" spans="1:20">
      <c r="A676" t="s">
        <v>744</v>
      </c>
      <c r="B676" s="3">
        <v>45782</v>
      </c>
      <c r="C676" t="s">
        <v>21</v>
      </c>
      <c r="D676" t="s">
        <v>30</v>
      </c>
      <c r="E676" t="s">
        <v>68</v>
      </c>
      <c r="F676" t="s">
        <v>23</v>
      </c>
      <c r="G676" t="s">
        <v>37</v>
      </c>
      <c r="H676">
        <v>4</v>
      </c>
      <c r="I676">
        <v>336.69</v>
      </c>
      <c r="J676">
        <v>265.45999999999998</v>
      </c>
      <c r="K676">
        <f t="shared" si="60"/>
        <v>1346.76</v>
      </c>
      <c r="L676">
        <v>0.15</v>
      </c>
      <c r="M676">
        <f t="shared" si="61"/>
        <v>202.01399999999998</v>
      </c>
      <c r="N676">
        <f t="shared" si="62"/>
        <v>1144.7460000000001</v>
      </c>
      <c r="O676">
        <f t="shared" si="63"/>
        <v>1061.8399999999999</v>
      </c>
      <c r="P676">
        <f t="shared" si="64"/>
        <v>82.906000000000176</v>
      </c>
      <c r="Q676">
        <f t="shared" si="65"/>
        <v>7.2423052799485799</v>
      </c>
      <c r="R676" t="s">
        <v>51</v>
      </c>
      <c r="S676" t="s">
        <v>43</v>
      </c>
      <c r="T676">
        <v>4.8</v>
      </c>
    </row>
    <row r="677" spans="1:20">
      <c r="A677" t="s">
        <v>745</v>
      </c>
      <c r="B677" s="3">
        <v>45783</v>
      </c>
      <c r="C677" t="s">
        <v>21</v>
      </c>
      <c r="D677" t="s">
        <v>28</v>
      </c>
      <c r="E677" t="s">
        <v>86</v>
      </c>
      <c r="F677" t="s">
        <v>22</v>
      </c>
      <c r="G677" t="s">
        <v>35</v>
      </c>
      <c r="H677">
        <v>36</v>
      </c>
      <c r="I677">
        <v>555.9</v>
      </c>
      <c r="J677">
        <v>335.5</v>
      </c>
      <c r="K677">
        <f t="shared" si="60"/>
        <v>20012.399999999998</v>
      </c>
      <c r="L677">
        <v>0</v>
      </c>
      <c r="M677">
        <f t="shared" si="61"/>
        <v>0</v>
      </c>
      <c r="N677">
        <f t="shared" si="62"/>
        <v>20012.399999999998</v>
      </c>
      <c r="O677">
        <f t="shared" si="63"/>
        <v>12078</v>
      </c>
      <c r="P677">
        <f t="shared" si="64"/>
        <v>7934.3999999999978</v>
      </c>
      <c r="Q677">
        <f t="shared" si="65"/>
        <v>39.647418600467702</v>
      </c>
      <c r="R677" t="s">
        <v>49</v>
      </c>
      <c r="S677" t="s">
        <v>41</v>
      </c>
      <c r="T677">
        <v>3.8</v>
      </c>
    </row>
    <row r="678" spans="1:20">
      <c r="A678" t="s">
        <v>746</v>
      </c>
      <c r="B678" s="3">
        <v>45783</v>
      </c>
      <c r="C678" t="s">
        <v>21</v>
      </c>
      <c r="D678" t="s">
        <v>32</v>
      </c>
      <c r="E678" t="s">
        <v>68</v>
      </c>
      <c r="F678" t="s">
        <v>22</v>
      </c>
      <c r="G678" t="s">
        <v>42</v>
      </c>
      <c r="H678">
        <v>37</v>
      </c>
      <c r="I678">
        <v>1197.9000000000001</v>
      </c>
      <c r="J678">
        <v>931.48</v>
      </c>
      <c r="K678">
        <f t="shared" si="60"/>
        <v>44322.3</v>
      </c>
      <c r="L678">
        <v>0</v>
      </c>
      <c r="M678">
        <f t="shared" si="61"/>
        <v>0</v>
      </c>
      <c r="N678">
        <f t="shared" si="62"/>
        <v>44322.3</v>
      </c>
      <c r="O678">
        <f t="shared" si="63"/>
        <v>34464.76</v>
      </c>
      <c r="P678">
        <f t="shared" si="64"/>
        <v>9857.5400000000009</v>
      </c>
      <c r="Q678">
        <f t="shared" si="65"/>
        <v>22.240587695133147</v>
      </c>
      <c r="R678" t="s">
        <v>49</v>
      </c>
      <c r="S678" t="s">
        <v>41</v>
      </c>
      <c r="T678">
        <v>4.3</v>
      </c>
    </row>
    <row r="679" spans="1:20">
      <c r="A679" t="s">
        <v>747</v>
      </c>
      <c r="B679" s="3">
        <v>45784</v>
      </c>
      <c r="C679" t="s">
        <v>21</v>
      </c>
      <c r="D679" t="s">
        <v>28</v>
      </c>
      <c r="E679" t="s">
        <v>86</v>
      </c>
      <c r="F679" t="s">
        <v>20</v>
      </c>
      <c r="G679" t="s">
        <v>31</v>
      </c>
      <c r="H679">
        <v>3</v>
      </c>
      <c r="I679">
        <v>1328.96</v>
      </c>
      <c r="J679">
        <v>665.19</v>
      </c>
      <c r="K679">
        <f t="shared" si="60"/>
        <v>3986.88</v>
      </c>
      <c r="L679">
        <v>0.05</v>
      </c>
      <c r="M679">
        <f t="shared" si="61"/>
        <v>199.34400000000002</v>
      </c>
      <c r="N679">
        <f t="shared" si="62"/>
        <v>3787.5360000000001</v>
      </c>
      <c r="O679">
        <f t="shared" si="63"/>
        <v>1995.5700000000002</v>
      </c>
      <c r="P679">
        <f t="shared" si="64"/>
        <v>1791.9659999999999</v>
      </c>
      <c r="Q679">
        <f t="shared" si="65"/>
        <v>47.312183963399953</v>
      </c>
      <c r="R679" t="s">
        <v>49</v>
      </c>
      <c r="S679" t="s">
        <v>41</v>
      </c>
      <c r="T679">
        <v>3.8</v>
      </c>
    </row>
    <row r="680" spans="1:20">
      <c r="A680" t="s">
        <v>748</v>
      </c>
      <c r="B680" s="3">
        <v>45784</v>
      </c>
      <c r="C680" t="s">
        <v>21</v>
      </c>
      <c r="D680" t="s">
        <v>32</v>
      </c>
      <c r="E680" t="s">
        <v>70</v>
      </c>
      <c r="F680" t="s">
        <v>22</v>
      </c>
      <c r="G680" t="s">
        <v>42</v>
      </c>
      <c r="H680">
        <v>23</v>
      </c>
      <c r="I680">
        <v>1081.07</v>
      </c>
      <c r="J680">
        <v>655.24</v>
      </c>
      <c r="K680">
        <f t="shared" si="60"/>
        <v>24864.609999999997</v>
      </c>
      <c r="L680">
        <v>0</v>
      </c>
      <c r="M680">
        <f t="shared" si="61"/>
        <v>0</v>
      </c>
      <c r="N680">
        <f t="shared" si="62"/>
        <v>24864.609999999997</v>
      </c>
      <c r="O680">
        <f t="shared" si="63"/>
        <v>15070.52</v>
      </c>
      <c r="P680">
        <f t="shared" si="64"/>
        <v>9794.0899999999965</v>
      </c>
      <c r="Q680">
        <f t="shared" si="65"/>
        <v>39.389678744207117</v>
      </c>
      <c r="R680" t="s">
        <v>49</v>
      </c>
      <c r="S680" t="s">
        <v>45</v>
      </c>
      <c r="T680">
        <v>3.2</v>
      </c>
    </row>
    <row r="681" spans="1:20">
      <c r="A681" t="s">
        <v>749</v>
      </c>
      <c r="B681" s="3">
        <v>45785</v>
      </c>
      <c r="C681" t="s">
        <v>21</v>
      </c>
      <c r="D681" t="s">
        <v>26</v>
      </c>
      <c r="E681" t="s">
        <v>70</v>
      </c>
      <c r="F681" t="s">
        <v>24</v>
      </c>
      <c r="G681" t="s">
        <v>29</v>
      </c>
      <c r="H681">
        <v>3</v>
      </c>
      <c r="I681">
        <v>556.63</v>
      </c>
      <c r="J681">
        <v>293.29000000000002</v>
      </c>
      <c r="K681">
        <f t="shared" si="60"/>
        <v>1669.8899999999999</v>
      </c>
      <c r="L681">
        <v>0.1</v>
      </c>
      <c r="M681">
        <f t="shared" si="61"/>
        <v>166.989</v>
      </c>
      <c r="N681">
        <f t="shared" si="62"/>
        <v>1502.9009999999998</v>
      </c>
      <c r="O681">
        <f t="shared" si="63"/>
        <v>879.87000000000012</v>
      </c>
      <c r="P681">
        <f t="shared" si="64"/>
        <v>623.03099999999972</v>
      </c>
      <c r="Q681">
        <f t="shared" si="65"/>
        <v>41.455225593701769</v>
      </c>
      <c r="R681" t="s">
        <v>50</v>
      </c>
      <c r="S681" t="s">
        <v>41</v>
      </c>
      <c r="T681">
        <v>4.3</v>
      </c>
    </row>
    <row r="682" spans="1:20">
      <c r="A682" t="s">
        <v>750</v>
      </c>
      <c r="B682" s="3">
        <v>45787</v>
      </c>
      <c r="C682" t="s">
        <v>21</v>
      </c>
      <c r="D682" t="s">
        <v>26</v>
      </c>
      <c r="E682" t="s">
        <v>68</v>
      </c>
      <c r="F682" t="s">
        <v>22</v>
      </c>
      <c r="G682" t="s">
        <v>33</v>
      </c>
      <c r="H682">
        <v>29</v>
      </c>
      <c r="I682">
        <v>445.59</v>
      </c>
      <c r="J682">
        <v>283.66000000000003</v>
      </c>
      <c r="K682">
        <f t="shared" si="60"/>
        <v>12922.109999999999</v>
      </c>
      <c r="L682">
        <v>0</v>
      </c>
      <c r="M682">
        <f t="shared" si="61"/>
        <v>0</v>
      </c>
      <c r="N682">
        <f t="shared" si="62"/>
        <v>12922.109999999999</v>
      </c>
      <c r="O682">
        <f t="shared" si="63"/>
        <v>8226.1400000000012</v>
      </c>
      <c r="P682">
        <f t="shared" si="64"/>
        <v>4695.9699999999975</v>
      </c>
      <c r="Q682">
        <f t="shared" si="65"/>
        <v>36.340582149509629</v>
      </c>
      <c r="R682" t="s">
        <v>49</v>
      </c>
      <c r="S682" t="s">
        <v>45</v>
      </c>
      <c r="T682">
        <v>4.8</v>
      </c>
    </row>
    <row r="683" spans="1:20">
      <c r="A683" t="s">
        <v>751</v>
      </c>
      <c r="B683" s="3">
        <v>45787</v>
      </c>
      <c r="C683" t="s">
        <v>21</v>
      </c>
      <c r="D683" t="s">
        <v>28</v>
      </c>
      <c r="E683" t="s">
        <v>68</v>
      </c>
      <c r="F683" t="s">
        <v>23</v>
      </c>
      <c r="G683" t="s">
        <v>44</v>
      </c>
      <c r="H683">
        <v>23</v>
      </c>
      <c r="I683">
        <v>881.07</v>
      </c>
      <c r="J683">
        <v>714.82</v>
      </c>
      <c r="K683">
        <f t="shared" si="60"/>
        <v>20264.61</v>
      </c>
      <c r="L683">
        <v>0.25</v>
      </c>
      <c r="M683">
        <f t="shared" si="61"/>
        <v>5066.1525000000001</v>
      </c>
      <c r="N683">
        <f t="shared" si="62"/>
        <v>15198.4575</v>
      </c>
      <c r="O683">
        <f t="shared" si="63"/>
        <v>16440.86</v>
      </c>
      <c r="P683">
        <f t="shared" si="64"/>
        <v>-1242.4025000000001</v>
      </c>
      <c r="Q683">
        <f t="shared" si="65"/>
        <v>-8.1745302113717795</v>
      </c>
      <c r="R683" t="s">
        <v>50</v>
      </c>
      <c r="S683" t="s">
        <v>41</v>
      </c>
      <c r="T683">
        <v>4</v>
      </c>
    </row>
    <row r="684" spans="1:20">
      <c r="A684" t="s">
        <v>752</v>
      </c>
      <c r="B684" s="3">
        <v>45788</v>
      </c>
      <c r="C684" t="s">
        <v>21</v>
      </c>
      <c r="D684" t="s">
        <v>32</v>
      </c>
      <c r="E684" t="s">
        <v>86</v>
      </c>
      <c r="F684" t="s">
        <v>22</v>
      </c>
      <c r="G684" t="s">
        <v>35</v>
      </c>
      <c r="H684">
        <v>46</v>
      </c>
      <c r="I684">
        <v>757.15</v>
      </c>
      <c r="J684">
        <v>579.84</v>
      </c>
      <c r="K684">
        <f t="shared" si="60"/>
        <v>34828.9</v>
      </c>
      <c r="L684">
        <v>0.1</v>
      </c>
      <c r="M684">
        <f t="shared" si="61"/>
        <v>3482.8900000000003</v>
      </c>
      <c r="N684">
        <f t="shared" si="62"/>
        <v>31346.010000000002</v>
      </c>
      <c r="O684">
        <f t="shared" si="63"/>
        <v>26672.640000000003</v>
      </c>
      <c r="P684">
        <f t="shared" si="64"/>
        <v>4673.369999999999</v>
      </c>
      <c r="Q684">
        <f t="shared" si="65"/>
        <v>14.908978846111509</v>
      </c>
      <c r="R684" t="s">
        <v>49</v>
      </c>
      <c r="S684" t="s">
        <v>45</v>
      </c>
      <c r="T684">
        <v>3.4</v>
      </c>
    </row>
    <row r="685" spans="1:20">
      <c r="A685" t="s">
        <v>753</v>
      </c>
      <c r="B685" s="3">
        <v>45789</v>
      </c>
      <c r="C685" t="s">
        <v>21</v>
      </c>
      <c r="D685" t="s">
        <v>26</v>
      </c>
      <c r="E685" t="s">
        <v>68</v>
      </c>
      <c r="F685" t="s">
        <v>22</v>
      </c>
      <c r="G685" t="s">
        <v>35</v>
      </c>
      <c r="H685">
        <v>48</v>
      </c>
      <c r="I685">
        <v>442.72</v>
      </c>
      <c r="J685">
        <v>294.97000000000003</v>
      </c>
      <c r="K685">
        <f t="shared" si="60"/>
        <v>21250.560000000001</v>
      </c>
      <c r="L685">
        <v>0.15</v>
      </c>
      <c r="M685">
        <f t="shared" si="61"/>
        <v>3187.5840000000003</v>
      </c>
      <c r="N685">
        <f t="shared" si="62"/>
        <v>18062.976000000002</v>
      </c>
      <c r="O685">
        <f t="shared" si="63"/>
        <v>14158.560000000001</v>
      </c>
      <c r="P685">
        <f t="shared" si="64"/>
        <v>3904.4160000000011</v>
      </c>
      <c r="Q685">
        <f t="shared" si="65"/>
        <v>21.615574310678376</v>
      </c>
      <c r="R685" t="s">
        <v>49</v>
      </c>
      <c r="S685" t="s">
        <v>41</v>
      </c>
      <c r="T685">
        <v>4.3</v>
      </c>
    </row>
    <row r="686" spans="1:20">
      <c r="A686" t="s">
        <v>754</v>
      </c>
      <c r="B686" s="3">
        <v>45789</v>
      </c>
      <c r="C686" t="s">
        <v>21</v>
      </c>
      <c r="D686" t="s">
        <v>32</v>
      </c>
      <c r="E686" t="s">
        <v>70</v>
      </c>
      <c r="F686" t="s">
        <v>23</v>
      </c>
      <c r="G686" t="s">
        <v>44</v>
      </c>
      <c r="H686">
        <v>19</v>
      </c>
      <c r="I686">
        <v>196.76</v>
      </c>
      <c r="J686">
        <v>139.82</v>
      </c>
      <c r="K686">
        <f t="shared" si="60"/>
        <v>3738.4399999999996</v>
      </c>
      <c r="L686">
        <v>0</v>
      </c>
      <c r="M686">
        <f t="shared" si="61"/>
        <v>0</v>
      </c>
      <c r="N686">
        <f t="shared" si="62"/>
        <v>3738.4399999999996</v>
      </c>
      <c r="O686">
        <f t="shared" si="63"/>
        <v>2656.58</v>
      </c>
      <c r="P686">
        <f t="shared" si="64"/>
        <v>1081.8599999999997</v>
      </c>
      <c r="Q686">
        <f t="shared" si="65"/>
        <v>28.93880870095547</v>
      </c>
      <c r="R686" t="s">
        <v>49</v>
      </c>
      <c r="S686" t="s">
        <v>43</v>
      </c>
      <c r="T686">
        <v>4.2</v>
      </c>
    </row>
    <row r="687" spans="1:20">
      <c r="A687" t="s">
        <v>755</v>
      </c>
      <c r="B687" s="3">
        <v>45789</v>
      </c>
      <c r="C687" t="s">
        <v>21</v>
      </c>
      <c r="D687" t="s">
        <v>32</v>
      </c>
      <c r="E687" t="s">
        <v>68</v>
      </c>
      <c r="F687" t="s">
        <v>22</v>
      </c>
      <c r="G687" t="s">
        <v>35</v>
      </c>
      <c r="H687">
        <v>16</v>
      </c>
      <c r="I687">
        <v>1282.58</v>
      </c>
      <c r="J687">
        <v>883.25</v>
      </c>
      <c r="K687">
        <f t="shared" si="60"/>
        <v>20521.28</v>
      </c>
      <c r="L687">
        <v>0.2</v>
      </c>
      <c r="M687">
        <f t="shared" si="61"/>
        <v>4104.2560000000003</v>
      </c>
      <c r="N687">
        <f t="shared" si="62"/>
        <v>16417.023999999998</v>
      </c>
      <c r="O687">
        <f t="shared" si="63"/>
        <v>14132</v>
      </c>
      <c r="P687">
        <f t="shared" si="64"/>
        <v>2285.0239999999976</v>
      </c>
      <c r="Q687">
        <f t="shared" si="65"/>
        <v>13.91862495906687</v>
      </c>
      <c r="R687" t="s">
        <v>49</v>
      </c>
      <c r="S687" t="s">
        <v>43</v>
      </c>
      <c r="T687">
        <v>4</v>
      </c>
    </row>
    <row r="688" spans="1:20">
      <c r="A688" t="s">
        <v>756</v>
      </c>
      <c r="B688" s="3">
        <v>45791</v>
      </c>
      <c r="C688" t="s">
        <v>21</v>
      </c>
      <c r="D688" t="s">
        <v>30</v>
      </c>
      <c r="E688" t="s">
        <v>68</v>
      </c>
      <c r="F688" t="s">
        <v>22</v>
      </c>
      <c r="G688" t="s">
        <v>42</v>
      </c>
      <c r="H688">
        <v>4</v>
      </c>
      <c r="I688">
        <v>849.28</v>
      </c>
      <c r="J688">
        <v>582.33000000000004</v>
      </c>
      <c r="K688">
        <f t="shared" si="60"/>
        <v>3397.12</v>
      </c>
      <c r="L688">
        <v>0.2</v>
      </c>
      <c r="M688">
        <f t="shared" si="61"/>
        <v>679.42399999999998</v>
      </c>
      <c r="N688">
        <f t="shared" si="62"/>
        <v>2717.6959999999999</v>
      </c>
      <c r="O688">
        <f t="shared" si="63"/>
        <v>2329.3200000000002</v>
      </c>
      <c r="P688">
        <f t="shared" si="64"/>
        <v>388.37599999999975</v>
      </c>
      <c r="Q688">
        <f t="shared" si="65"/>
        <v>14.290634419743775</v>
      </c>
      <c r="R688" t="s">
        <v>49</v>
      </c>
      <c r="S688" t="s">
        <v>47</v>
      </c>
      <c r="T688">
        <v>4.8</v>
      </c>
    </row>
    <row r="689" spans="1:20">
      <c r="A689" t="s">
        <v>757</v>
      </c>
      <c r="B689" s="3">
        <v>45792</v>
      </c>
      <c r="C689" t="s">
        <v>21</v>
      </c>
      <c r="D689" t="s">
        <v>32</v>
      </c>
      <c r="E689" t="s">
        <v>68</v>
      </c>
      <c r="F689" t="s">
        <v>22</v>
      </c>
      <c r="G689" t="s">
        <v>42</v>
      </c>
      <c r="H689">
        <v>9</v>
      </c>
      <c r="I689">
        <v>1352.95</v>
      </c>
      <c r="J689">
        <v>1006.6</v>
      </c>
      <c r="K689">
        <f t="shared" si="60"/>
        <v>12176.550000000001</v>
      </c>
      <c r="L689">
        <v>0.05</v>
      </c>
      <c r="M689">
        <f t="shared" si="61"/>
        <v>608.8275000000001</v>
      </c>
      <c r="N689">
        <f t="shared" si="62"/>
        <v>11567.722500000002</v>
      </c>
      <c r="O689">
        <f t="shared" si="63"/>
        <v>9059.4</v>
      </c>
      <c r="P689">
        <f t="shared" si="64"/>
        <v>2508.322500000002</v>
      </c>
      <c r="Q689">
        <f t="shared" si="65"/>
        <v>21.683805952295291</v>
      </c>
      <c r="R689" t="s">
        <v>49</v>
      </c>
      <c r="S689" t="s">
        <v>41</v>
      </c>
      <c r="T689">
        <v>3.1</v>
      </c>
    </row>
    <row r="690" spans="1:20">
      <c r="A690" t="s">
        <v>758</v>
      </c>
      <c r="B690" s="3">
        <v>45792</v>
      </c>
      <c r="C690" t="s">
        <v>21</v>
      </c>
      <c r="D690" t="s">
        <v>28</v>
      </c>
      <c r="E690" t="s">
        <v>68</v>
      </c>
      <c r="F690" t="s">
        <v>20</v>
      </c>
      <c r="G690" t="s">
        <v>34</v>
      </c>
      <c r="H690">
        <v>45</v>
      </c>
      <c r="I690">
        <v>1075.57</v>
      </c>
      <c r="J690">
        <v>438.43</v>
      </c>
      <c r="K690">
        <f t="shared" si="60"/>
        <v>48400.649999999994</v>
      </c>
      <c r="L690">
        <v>0.1</v>
      </c>
      <c r="M690">
        <f t="shared" si="61"/>
        <v>4840.0649999999996</v>
      </c>
      <c r="N690">
        <f t="shared" si="62"/>
        <v>43560.584999999992</v>
      </c>
      <c r="O690">
        <f t="shared" si="63"/>
        <v>19729.349999999999</v>
      </c>
      <c r="P690">
        <f t="shared" si="64"/>
        <v>23831.234999999993</v>
      </c>
      <c r="Q690">
        <f t="shared" si="65"/>
        <v>54.708252885033559</v>
      </c>
      <c r="R690" t="s">
        <v>49</v>
      </c>
      <c r="S690" t="s">
        <v>41</v>
      </c>
      <c r="T690">
        <v>3.3</v>
      </c>
    </row>
    <row r="691" spans="1:20">
      <c r="A691" t="s">
        <v>759</v>
      </c>
      <c r="B691" s="3">
        <v>45793</v>
      </c>
      <c r="C691" t="s">
        <v>21</v>
      </c>
      <c r="D691" t="s">
        <v>32</v>
      </c>
      <c r="E691" t="s">
        <v>86</v>
      </c>
      <c r="F691" t="s">
        <v>22</v>
      </c>
      <c r="G691" t="s">
        <v>35</v>
      </c>
      <c r="H691">
        <v>32</v>
      </c>
      <c r="I691">
        <v>679.66</v>
      </c>
      <c r="J691">
        <v>518.29999999999995</v>
      </c>
      <c r="K691">
        <f t="shared" si="60"/>
        <v>21749.119999999999</v>
      </c>
      <c r="L691">
        <v>0.15</v>
      </c>
      <c r="M691">
        <f t="shared" si="61"/>
        <v>3262.3679999999999</v>
      </c>
      <c r="N691">
        <f t="shared" si="62"/>
        <v>18486.752</v>
      </c>
      <c r="O691">
        <f t="shared" si="63"/>
        <v>16585.599999999999</v>
      </c>
      <c r="P691">
        <f t="shared" si="64"/>
        <v>1901.1520000000019</v>
      </c>
      <c r="Q691">
        <f t="shared" si="65"/>
        <v>10.283861654010407</v>
      </c>
      <c r="R691" t="s">
        <v>49</v>
      </c>
      <c r="S691" t="s">
        <v>41</v>
      </c>
      <c r="T691">
        <v>3.1</v>
      </c>
    </row>
    <row r="692" spans="1:20">
      <c r="A692" t="s">
        <v>760</v>
      </c>
      <c r="B692" s="3">
        <v>45796</v>
      </c>
      <c r="C692" t="s">
        <v>21</v>
      </c>
      <c r="D692" t="s">
        <v>32</v>
      </c>
      <c r="E692" t="s">
        <v>68</v>
      </c>
      <c r="F692" t="s">
        <v>22</v>
      </c>
      <c r="G692" t="s">
        <v>35</v>
      </c>
      <c r="H692">
        <v>8</v>
      </c>
      <c r="I692">
        <v>1012.28</v>
      </c>
      <c r="J692">
        <v>744.29</v>
      </c>
      <c r="K692">
        <f t="shared" si="60"/>
        <v>8098.24</v>
      </c>
      <c r="L692">
        <v>0</v>
      </c>
      <c r="M692">
        <f t="shared" si="61"/>
        <v>0</v>
      </c>
      <c r="N692">
        <f t="shared" si="62"/>
        <v>8098.24</v>
      </c>
      <c r="O692">
        <f t="shared" si="63"/>
        <v>5954.32</v>
      </c>
      <c r="P692">
        <f t="shared" si="64"/>
        <v>2143.92</v>
      </c>
      <c r="Q692">
        <f t="shared" si="65"/>
        <v>26.473900501837438</v>
      </c>
      <c r="R692" t="s">
        <v>50</v>
      </c>
      <c r="S692" t="s">
        <v>45</v>
      </c>
      <c r="T692">
        <v>3.8</v>
      </c>
    </row>
    <row r="693" spans="1:20">
      <c r="A693" t="s">
        <v>761</v>
      </c>
      <c r="B693" s="3">
        <v>45796</v>
      </c>
      <c r="C693" t="s">
        <v>21</v>
      </c>
      <c r="D693" t="s">
        <v>30</v>
      </c>
      <c r="E693" t="s">
        <v>68</v>
      </c>
      <c r="F693" t="s">
        <v>22</v>
      </c>
      <c r="G693" t="s">
        <v>35</v>
      </c>
      <c r="H693">
        <v>12</v>
      </c>
      <c r="I693">
        <v>905.07</v>
      </c>
      <c r="J693">
        <v>647.04999999999995</v>
      </c>
      <c r="K693">
        <f t="shared" si="60"/>
        <v>10860.84</v>
      </c>
      <c r="L693">
        <v>0.05</v>
      </c>
      <c r="M693">
        <f t="shared" si="61"/>
        <v>543.04200000000003</v>
      </c>
      <c r="N693">
        <f t="shared" si="62"/>
        <v>10317.798000000001</v>
      </c>
      <c r="O693">
        <f t="shared" si="63"/>
        <v>7764.5999999999995</v>
      </c>
      <c r="P693">
        <f t="shared" si="64"/>
        <v>2553.1980000000012</v>
      </c>
      <c r="Q693">
        <f t="shared" si="65"/>
        <v>24.745570711890281</v>
      </c>
      <c r="R693" t="s">
        <v>50</v>
      </c>
      <c r="S693" t="s">
        <v>43</v>
      </c>
      <c r="T693">
        <v>4</v>
      </c>
    </row>
    <row r="694" spans="1:20">
      <c r="A694" t="s">
        <v>762</v>
      </c>
      <c r="B694" s="3">
        <v>45797</v>
      </c>
      <c r="C694" t="s">
        <v>21</v>
      </c>
      <c r="D694" t="s">
        <v>30</v>
      </c>
      <c r="E694" t="s">
        <v>68</v>
      </c>
      <c r="F694" t="s">
        <v>24</v>
      </c>
      <c r="G694" t="s">
        <v>40</v>
      </c>
      <c r="H694">
        <v>22</v>
      </c>
      <c r="I694">
        <v>1464.34</v>
      </c>
      <c r="J694">
        <v>876.38</v>
      </c>
      <c r="K694">
        <f t="shared" si="60"/>
        <v>32215.48</v>
      </c>
      <c r="L694">
        <v>0</v>
      </c>
      <c r="M694">
        <f t="shared" si="61"/>
        <v>0</v>
      </c>
      <c r="N694">
        <f t="shared" si="62"/>
        <v>32215.48</v>
      </c>
      <c r="O694">
        <f t="shared" si="63"/>
        <v>19280.36</v>
      </c>
      <c r="P694">
        <f t="shared" si="64"/>
        <v>12935.119999999999</v>
      </c>
      <c r="Q694">
        <f t="shared" si="65"/>
        <v>40.15187729625633</v>
      </c>
      <c r="R694" t="s">
        <v>49</v>
      </c>
      <c r="S694" t="s">
        <v>45</v>
      </c>
      <c r="T694">
        <v>4.3</v>
      </c>
    </row>
    <row r="695" spans="1:20">
      <c r="A695" t="s">
        <v>763</v>
      </c>
      <c r="B695" s="3">
        <v>45797</v>
      </c>
      <c r="C695" t="s">
        <v>21</v>
      </c>
      <c r="D695" t="s">
        <v>26</v>
      </c>
      <c r="E695" t="s">
        <v>68</v>
      </c>
      <c r="F695" t="s">
        <v>22</v>
      </c>
      <c r="G695" t="s">
        <v>42</v>
      </c>
      <c r="H695">
        <v>18</v>
      </c>
      <c r="I695">
        <v>446.42</v>
      </c>
      <c r="J695">
        <v>335.49</v>
      </c>
      <c r="K695">
        <f t="shared" si="60"/>
        <v>8035.56</v>
      </c>
      <c r="L695">
        <v>0</v>
      </c>
      <c r="M695">
        <f t="shared" si="61"/>
        <v>0</v>
      </c>
      <c r="N695">
        <f t="shared" si="62"/>
        <v>8035.56</v>
      </c>
      <c r="O695">
        <f t="shared" si="63"/>
        <v>6038.82</v>
      </c>
      <c r="P695">
        <f t="shared" si="64"/>
        <v>1996.7400000000007</v>
      </c>
      <c r="Q695">
        <f t="shared" si="65"/>
        <v>24.848797096904267</v>
      </c>
      <c r="R695" t="s">
        <v>49</v>
      </c>
      <c r="S695" t="s">
        <v>41</v>
      </c>
      <c r="T695">
        <v>3.4</v>
      </c>
    </row>
    <row r="696" spans="1:20">
      <c r="A696" t="s">
        <v>764</v>
      </c>
      <c r="B696" s="3">
        <v>45798</v>
      </c>
      <c r="C696" t="s">
        <v>21</v>
      </c>
      <c r="D696" t="s">
        <v>30</v>
      </c>
      <c r="E696" t="s">
        <v>68</v>
      </c>
      <c r="F696" t="s">
        <v>22</v>
      </c>
      <c r="G696" t="s">
        <v>42</v>
      </c>
      <c r="H696">
        <v>37</v>
      </c>
      <c r="I696">
        <v>665.78</v>
      </c>
      <c r="J696">
        <v>517.33000000000004</v>
      </c>
      <c r="K696">
        <f t="shared" si="60"/>
        <v>24633.86</v>
      </c>
      <c r="L696">
        <v>0</v>
      </c>
      <c r="M696">
        <f t="shared" si="61"/>
        <v>0</v>
      </c>
      <c r="N696">
        <f t="shared" si="62"/>
        <v>24633.86</v>
      </c>
      <c r="O696">
        <f t="shared" si="63"/>
        <v>19141.210000000003</v>
      </c>
      <c r="P696">
        <f t="shared" si="64"/>
        <v>5492.6499999999978</v>
      </c>
      <c r="Q696">
        <f t="shared" si="65"/>
        <v>22.297155216437854</v>
      </c>
      <c r="R696" t="s">
        <v>51</v>
      </c>
      <c r="S696" t="s">
        <v>41</v>
      </c>
      <c r="T696">
        <v>4.4000000000000004</v>
      </c>
    </row>
    <row r="697" spans="1:20">
      <c r="A697" t="s">
        <v>765</v>
      </c>
      <c r="B697" s="3">
        <v>45799</v>
      </c>
      <c r="C697" t="s">
        <v>21</v>
      </c>
      <c r="D697" t="s">
        <v>32</v>
      </c>
      <c r="E697" t="s">
        <v>86</v>
      </c>
      <c r="F697" t="s">
        <v>20</v>
      </c>
      <c r="G697" t="s">
        <v>34</v>
      </c>
      <c r="H697">
        <v>30</v>
      </c>
      <c r="I697">
        <v>347.49</v>
      </c>
      <c r="J697">
        <v>155.44999999999999</v>
      </c>
      <c r="K697">
        <f t="shared" si="60"/>
        <v>10424.700000000001</v>
      </c>
      <c r="L697">
        <v>0</v>
      </c>
      <c r="M697">
        <f t="shared" si="61"/>
        <v>0</v>
      </c>
      <c r="N697">
        <f t="shared" si="62"/>
        <v>10424.700000000001</v>
      </c>
      <c r="O697">
        <f t="shared" si="63"/>
        <v>4663.5</v>
      </c>
      <c r="P697">
        <f t="shared" si="64"/>
        <v>5761.2000000000007</v>
      </c>
      <c r="Q697">
        <f t="shared" si="65"/>
        <v>55.264899709344164</v>
      </c>
      <c r="R697" t="s">
        <v>50</v>
      </c>
      <c r="S697" t="s">
        <v>41</v>
      </c>
      <c r="T697">
        <v>3.5</v>
      </c>
    </row>
    <row r="698" spans="1:20">
      <c r="A698" t="s">
        <v>766</v>
      </c>
      <c r="B698" s="3">
        <v>45799</v>
      </c>
      <c r="C698" t="s">
        <v>21</v>
      </c>
      <c r="D698" t="s">
        <v>26</v>
      </c>
      <c r="E698" t="s">
        <v>68</v>
      </c>
      <c r="F698" t="s">
        <v>22</v>
      </c>
      <c r="G698" t="s">
        <v>33</v>
      </c>
      <c r="H698">
        <v>34</v>
      </c>
      <c r="I698">
        <v>340.37</v>
      </c>
      <c r="J698">
        <v>252.65</v>
      </c>
      <c r="K698">
        <f t="shared" si="60"/>
        <v>11572.58</v>
      </c>
      <c r="L698">
        <v>0</v>
      </c>
      <c r="M698">
        <f t="shared" si="61"/>
        <v>0</v>
      </c>
      <c r="N698">
        <f t="shared" si="62"/>
        <v>11572.58</v>
      </c>
      <c r="O698">
        <f t="shared" si="63"/>
        <v>8590.1</v>
      </c>
      <c r="P698">
        <f t="shared" si="64"/>
        <v>2982.4799999999996</v>
      </c>
      <c r="Q698">
        <f t="shared" si="65"/>
        <v>25.771954050004403</v>
      </c>
      <c r="R698" t="s">
        <v>50</v>
      </c>
      <c r="S698" t="s">
        <v>47</v>
      </c>
      <c r="T698">
        <v>4.3</v>
      </c>
    </row>
    <row r="699" spans="1:20">
      <c r="A699" t="s">
        <v>767</v>
      </c>
      <c r="B699" s="3">
        <v>45799</v>
      </c>
      <c r="C699" t="s">
        <v>21</v>
      </c>
      <c r="D699" t="s">
        <v>30</v>
      </c>
      <c r="E699" t="s">
        <v>68</v>
      </c>
      <c r="F699" t="s">
        <v>20</v>
      </c>
      <c r="G699" t="s">
        <v>34</v>
      </c>
      <c r="H699">
        <v>15</v>
      </c>
      <c r="I699">
        <v>258.89</v>
      </c>
      <c r="J699">
        <v>117.71</v>
      </c>
      <c r="K699">
        <f t="shared" si="60"/>
        <v>3883.35</v>
      </c>
      <c r="L699">
        <v>0</v>
      </c>
      <c r="M699">
        <f t="shared" si="61"/>
        <v>0</v>
      </c>
      <c r="N699">
        <f t="shared" si="62"/>
        <v>3883.35</v>
      </c>
      <c r="O699">
        <f t="shared" si="63"/>
        <v>1765.6499999999999</v>
      </c>
      <c r="P699">
        <f t="shared" si="64"/>
        <v>2117.6999999999998</v>
      </c>
      <c r="Q699">
        <f t="shared" si="65"/>
        <v>54.532813163892001</v>
      </c>
      <c r="R699" t="s">
        <v>49</v>
      </c>
      <c r="S699" t="s">
        <v>43</v>
      </c>
      <c r="T699">
        <v>3.9</v>
      </c>
    </row>
    <row r="700" spans="1:20">
      <c r="A700" t="s">
        <v>768</v>
      </c>
      <c r="B700" s="3">
        <v>45800</v>
      </c>
      <c r="C700" t="s">
        <v>21</v>
      </c>
      <c r="D700" t="s">
        <v>28</v>
      </c>
      <c r="E700" t="s">
        <v>68</v>
      </c>
      <c r="F700" t="s">
        <v>20</v>
      </c>
      <c r="G700" t="s">
        <v>31</v>
      </c>
      <c r="H700">
        <v>6</v>
      </c>
      <c r="I700">
        <v>61.29</v>
      </c>
      <c r="J700">
        <v>34.409999999999997</v>
      </c>
      <c r="K700">
        <f t="shared" si="60"/>
        <v>367.74</v>
      </c>
      <c r="L700">
        <v>0.25</v>
      </c>
      <c r="M700">
        <f t="shared" si="61"/>
        <v>91.935000000000002</v>
      </c>
      <c r="N700">
        <f t="shared" si="62"/>
        <v>275.80500000000001</v>
      </c>
      <c r="O700">
        <f t="shared" si="63"/>
        <v>206.45999999999998</v>
      </c>
      <c r="P700">
        <f t="shared" si="64"/>
        <v>69.345000000000027</v>
      </c>
      <c r="Q700">
        <f t="shared" si="65"/>
        <v>25.142763909283744</v>
      </c>
      <c r="R700" t="s">
        <v>50</v>
      </c>
      <c r="S700" t="s">
        <v>47</v>
      </c>
      <c r="T700">
        <v>3.5</v>
      </c>
    </row>
    <row r="701" spans="1:20">
      <c r="A701" t="s">
        <v>769</v>
      </c>
      <c r="B701" s="3">
        <v>45801</v>
      </c>
      <c r="C701" t="s">
        <v>21</v>
      </c>
      <c r="D701" t="s">
        <v>30</v>
      </c>
      <c r="E701" t="s">
        <v>86</v>
      </c>
      <c r="F701" t="s">
        <v>22</v>
      </c>
      <c r="G701" t="s">
        <v>42</v>
      </c>
      <c r="H701">
        <v>4</v>
      </c>
      <c r="I701">
        <v>1310.52</v>
      </c>
      <c r="J701">
        <v>922.31</v>
      </c>
      <c r="K701">
        <f t="shared" si="60"/>
        <v>5242.08</v>
      </c>
      <c r="L701">
        <v>0.05</v>
      </c>
      <c r="M701">
        <f t="shared" si="61"/>
        <v>262.10399999999998</v>
      </c>
      <c r="N701">
        <f t="shared" si="62"/>
        <v>4979.9759999999997</v>
      </c>
      <c r="O701">
        <f t="shared" si="63"/>
        <v>3689.24</v>
      </c>
      <c r="P701">
        <f t="shared" si="64"/>
        <v>1290.7359999999999</v>
      </c>
      <c r="Q701">
        <f t="shared" si="65"/>
        <v>25.918518482819998</v>
      </c>
      <c r="R701" t="s">
        <v>50</v>
      </c>
      <c r="S701" t="s">
        <v>41</v>
      </c>
      <c r="T701">
        <v>3.5</v>
      </c>
    </row>
    <row r="702" spans="1:20">
      <c r="A702" t="s">
        <v>770</v>
      </c>
      <c r="B702" s="3">
        <v>45802</v>
      </c>
      <c r="C702" t="s">
        <v>21</v>
      </c>
      <c r="D702" t="s">
        <v>32</v>
      </c>
      <c r="E702" t="s">
        <v>68</v>
      </c>
      <c r="F702" t="s">
        <v>20</v>
      </c>
      <c r="G702" t="s">
        <v>36</v>
      </c>
      <c r="H702">
        <v>49</v>
      </c>
      <c r="I702">
        <v>1268.3399999999999</v>
      </c>
      <c r="J702">
        <v>592.13</v>
      </c>
      <c r="K702">
        <f t="shared" si="60"/>
        <v>62148.659999999996</v>
      </c>
      <c r="L702">
        <v>0.25</v>
      </c>
      <c r="M702">
        <f t="shared" si="61"/>
        <v>15537.164999999999</v>
      </c>
      <c r="N702">
        <f t="shared" si="62"/>
        <v>46611.494999999995</v>
      </c>
      <c r="O702">
        <f t="shared" si="63"/>
        <v>29014.37</v>
      </c>
      <c r="P702">
        <f t="shared" si="64"/>
        <v>17597.124999999996</v>
      </c>
      <c r="Q702">
        <f t="shared" si="65"/>
        <v>37.752758198380029</v>
      </c>
      <c r="R702" t="s">
        <v>50</v>
      </c>
      <c r="S702" t="s">
        <v>43</v>
      </c>
      <c r="T702">
        <v>4.0999999999999996</v>
      </c>
    </row>
    <row r="703" spans="1:20">
      <c r="A703" t="s">
        <v>771</v>
      </c>
      <c r="B703" s="3">
        <v>45802</v>
      </c>
      <c r="C703" t="s">
        <v>21</v>
      </c>
      <c r="D703" t="s">
        <v>30</v>
      </c>
      <c r="E703" t="s">
        <v>68</v>
      </c>
      <c r="F703" t="s">
        <v>22</v>
      </c>
      <c r="G703" t="s">
        <v>42</v>
      </c>
      <c r="H703">
        <v>46</v>
      </c>
      <c r="I703">
        <v>453</v>
      </c>
      <c r="J703">
        <v>357.7</v>
      </c>
      <c r="K703">
        <f t="shared" si="60"/>
        <v>20838</v>
      </c>
      <c r="L703">
        <v>0.05</v>
      </c>
      <c r="M703">
        <f t="shared" si="61"/>
        <v>1041.9000000000001</v>
      </c>
      <c r="N703">
        <f t="shared" si="62"/>
        <v>19796.099999999999</v>
      </c>
      <c r="O703">
        <f t="shared" si="63"/>
        <v>16454.2</v>
      </c>
      <c r="P703">
        <f t="shared" si="64"/>
        <v>3341.8999999999978</v>
      </c>
      <c r="Q703">
        <f t="shared" si="65"/>
        <v>16.88160799349366</v>
      </c>
      <c r="R703" t="s">
        <v>51</v>
      </c>
      <c r="S703" t="s">
        <v>43</v>
      </c>
      <c r="T703">
        <v>4.9000000000000004</v>
      </c>
    </row>
    <row r="704" spans="1:20">
      <c r="A704" t="s">
        <v>772</v>
      </c>
      <c r="B704" s="3">
        <v>45803</v>
      </c>
      <c r="C704" t="s">
        <v>21</v>
      </c>
      <c r="D704" t="s">
        <v>26</v>
      </c>
      <c r="E704" t="s">
        <v>70</v>
      </c>
      <c r="F704" t="s">
        <v>24</v>
      </c>
      <c r="G704" t="s">
        <v>29</v>
      </c>
      <c r="H704">
        <v>8</v>
      </c>
      <c r="I704">
        <v>799.85</v>
      </c>
      <c r="J704">
        <v>506.05</v>
      </c>
      <c r="K704">
        <f t="shared" si="60"/>
        <v>6398.8</v>
      </c>
      <c r="L704">
        <v>0</v>
      </c>
      <c r="M704">
        <f t="shared" si="61"/>
        <v>0</v>
      </c>
      <c r="N704">
        <f t="shared" si="62"/>
        <v>6398.8</v>
      </c>
      <c r="O704">
        <f t="shared" si="63"/>
        <v>4048.4</v>
      </c>
      <c r="P704">
        <f t="shared" si="64"/>
        <v>2350.4</v>
      </c>
      <c r="Q704">
        <f t="shared" si="65"/>
        <v>36.731887228855406</v>
      </c>
      <c r="R704" t="s">
        <v>49</v>
      </c>
      <c r="S704" t="s">
        <v>41</v>
      </c>
      <c r="T704">
        <v>4.9000000000000004</v>
      </c>
    </row>
    <row r="705" spans="1:20">
      <c r="A705" t="s">
        <v>773</v>
      </c>
      <c r="B705" s="3">
        <v>45805</v>
      </c>
      <c r="C705" t="s">
        <v>21</v>
      </c>
      <c r="D705" t="s">
        <v>26</v>
      </c>
      <c r="E705" t="s">
        <v>68</v>
      </c>
      <c r="F705" t="s">
        <v>24</v>
      </c>
      <c r="G705" t="s">
        <v>40</v>
      </c>
      <c r="H705">
        <v>29</v>
      </c>
      <c r="I705">
        <v>958.47</v>
      </c>
      <c r="J705">
        <v>645.16</v>
      </c>
      <c r="K705">
        <f t="shared" si="60"/>
        <v>27795.63</v>
      </c>
      <c r="L705">
        <v>0.05</v>
      </c>
      <c r="M705">
        <f t="shared" si="61"/>
        <v>1389.7815000000001</v>
      </c>
      <c r="N705">
        <f t="shared" si="62"/>
        <v>26405.8485</v>
      </c>
      <c r="O705">
        <f t="shared" si="63"/>
        <v>18709.64</v>
      </c>
      <c r="P705">
        <f t="shared" si="64"/>
        <v>7696.2085000000006</v>
      </c>
      <c r="Q705">
        <f t="shared" si="65"/>
        <v>29.14584812527422</v>
      </c>
      <c r="R705" t="s">
        <v>49</v>
      </c>
      <c r="S705" t="s">
        <v>45</v>
      </c>
      <c r="T705">
        <v>3.5</v>
      </c>
    </row>
    <row r="706" spans="1:20">
      <c r="A706" t="s">
        <v>774</v>
      </c>
      <c r="B706" s="3">
        <v>45806</v>
      </c>
      <c r="C706" t="s">
        <v>21</v>
      </c>
      <c r="D706" t="s">
        <v>32</v>
      </c>
      <c r="E706" t="s">
        <v>68</v>
      </c>
      <c r="F706" t="s">
        <v>24</v>
      </c>
      <c r="G706" t="s">
        <v>40</v>
      </c>
      <c r="H706">
        <v>30</v>
      </c>
      <c r="I706">
        <v>922.14</v>
      </c>
      <c r="J706">
        <v>633.80999999999995</v>
      </c>
      <c r="K706">
        <f t="shared" ref="K706:K769" si="66">H706*I706</f>
        <v>27664.2</v>
      </c>
      <c r="L706">
        <v>0.05</v>
      </c>
      <c r="M706">
        <f t="shared" ref="M706:M769" si="67">K706*L706</f>
        <v>1383.21</v>
      </c>
      <c r="N706">
        <f t="shared" ref="N706:N769" si="68">K706-M706</f>
        <v>26280.99</v>
      </c>
      <c r="O706">
        <f t="shared" ref="O706:O769" si="69">H706*J706</f>
        <v>19014.3</v>
      </c>
      <c r="P706">
        <f t="shared" ref="P706:P769" si="70">N706-O706</f>
        <v>7266.6900000000023</v>
      </c>
      <c r="Q706">
        <f t="shared" ref="Q706:Q769" si="71">IFERROR(P706/N706*100,0)</f>
        <v>27.649985788206617</v>
      </c>
      <c r="R706" t="s">
        <v>50</v>
      </c>
      <c r="S706" t="s">
        <v>47</v>
      </c>
      <c r="T706">
        <v>3.1</v>
      </c>
    </row>
    <row r="707" spans="1:20">
      <c r="A707" t="s">
        <v>775</v>
      </c>
      <c r="B707" s="3">
        <v>45808</v>
      </c>
      <c r="C707" t="s">
        <v>21</v>
      </c>
      <c r="D707" t="s">
        <v>26</v>
      </c>
      <c r="E707" t="s">
        <v>68</v>
      </c>
      <c r="F707" t="s">
        <v>22</v>
      </c>
      <c r="G707" t="s">
        <v>33</v>
      </c>
      <c r="H707">
        <v>10</v>
      </c>
      <c r="I707">
        <v>218.39</v>
      </c>
      <c r="J707">
        <v>131.47</v>
      </c>
      <c r="K707">
        <f t="shared" si="66"/>
        <v>2183.8999999999996</v>
      </c>
      <c r="L707">
        <v>0</v>
      </c>
      <c r="M707">
        <f t="shared" si="67"/>
        <v>0</v>
      </c>
      <c r="N707">
        <f t="shared" si="68"/>
        <v>2183.8999999999996</v>
      </c>
      <c r="O707">
        <f t="shared" si="69"/>
        <v>1314.7</v>
      </c>
      <c r="P707">
        <f t="shared" si="70"/>
        <v>869.19999999999959</v>
      </c>
      <c r="Q707">
        <f t="shared" si="71"/>
        <v>39.800357159210577</v>
      </c>
      <c r="R707" t="s">
        <v>50</v>
      </c>
      <c r="S707" t="s">
        <v>47</v>
      </c>
      <c r="T707">
        <v>3.5</v>
      </c>
    </row>
    <row r="708" spans="1:20">
      <c r="A708" t="s">
        <v>776</v>
      </c>
      <c r="B708" s="3">
        <v>45809</v>
      </c>
      <c r="C708" t="s">
        <v>21</v>
      </c>
      <c r="D708" t="s">
        <v>28</v>
      </c>
      <c r="E708" t="s">
        <v>70</v>
      </c>
      <c r="F708" t="s">
        <v>24</v>
      </c>
      <c r="G708" t="s">
        <v>46</v>
      </c>
      <c r="H708">
        <v>34</v>
      </c>
      <c r="I708">
        <v>1489.72</v>
      </c>
      <c r="J708">
        <v>946.76</v>
      </c>
      <c r="K708">
        <f t="shared" si="66"/>
        <v>50650.48</v>
      </c>
      <c r="L708">
        <v>0.1</v>
      </c>
      <c r="M708">
        <f t="shared" si="67"/>
        <v>5065.0480000000007</v>
      </c>
      <c r="N708">
        <f t="shared" si="68"/>
        <v>45585.432000000001</v>
      </c>
      <c r="O708">
        <f t="shared" si="69"/>
        <v>32189.84</v>
      </c>
      <c r="P708">
        <f t="shared" si="70"/>
        <v>13395.592000000001</v>
      </c>
      <c r="Q708">
        <f t="shared" si="71"/>
        <v>29.3856861990471</v>
      </c>
      <c r="R708" t="s">
        <v>49</v>
      </c>
      <c r="S708" t="s">
        <v>45</v>
      </c>
      <c r="T708">
        <v>4.2</v>
      </c>
    </row>
    <row r="709" spans="1:20">
      <c r="A709" t="s">
        <v>777</v>
      </c>
      <c r="B709" s="3">
        <v>45809</v>
      </c>
      <c r="C709" t="s">
        <v>21</v>
      </c>
      <c r="D709" t="s">
        <v>26</v>
      </c>
      <c r="E709" t="s">
        <v>68</v>
      </c>
      <c r="F709" t="s">
        <v>23</v>
      </c>
      <c r="G709" t="s">
        <v>44</v>
      </c>
      <c r="H709">
        <v>11</v>
      </c>
      <c r="I709">
        <v>397.81</v>
      </c>
      <c r="J709">
        <v>289.81</v>
      </c>
      <c r="K709">
        <f t="shared" si="66"/>
        <v>4375.91</v>
      </c>
      <c r="L709">
        <v>0</v>
      </c>
      <c r="M709">
        <f t="shared" si="67"/>
        <v>0</v>
      </c>
      <c r="N709">
        <f t="shared" si="68"/>
        <v>4375.91</v>
      </c>
      <c r="O709">
        <f t="shared" si="69"/>
        <v>3187.91</v>
      </c>
      <c r="P709">
        <f t="shared" si="70"/>
        <v>1188</v>
      </c>
      <c r="Q709">
        <f t="shared" si="71"/>
        <v>27.148638797415853</v>
      </c>
      <c r="R709" t="s">
        <v>49</v>
      </c>
      <c r="S709" t="s">
        <v>41</v>
      </c>
      <c r="T709">
        <v>3.4</v>
      </c>
    </row>
    <row r="710" spans="1:20">
      <c r="A710" t="s">
        <v>778</v>
      </c>
      <c r="B710" s="3">
        <v>45810</v>
      </c>
      <c r="C710" t="s">
        <v>21</v>
      </c>
      <c r="D710" t="s">
        <v>32</v>
      </c>
      <c r="E710" t="s">
        <v>70</v>
      </c>
      <c r="F710" t="s">
        <v>20</v>
      </c>
      <c r="G710" t="s">
        <v>34</v>
      </c>
      <c r="H710">
        <v>48</v>
      </c>
      <c r="I710">
        <v>310.58999999999997</v>
      </c>
      <c r="J710">
        <v>166.58</v>
      </c>
      <c r="K710">
        <f t="shared" si="66"/>
        <v>14908.32</v>
      </c>
      <c r="L710">
        <v>0.1</v>
      </c>
      <c r="M710">
        <f t="shared" si="67"/>
        <v>1490.8320000000001</v>
      </c>
      <c r="N710">
        <f t="shared" si="68"/>
        <v>13417.487999999999</v>
      </c>
      <c r="O710">
        <f t="shared" si="69"/>
        <v>7995.84</v>
      </c>
      <c r="P710">
        <f t="shared" si="70"/>
        <v>5421.6479999999992</v>
      </c>
      <c r="Q710">
        <f t="shared" si="71"/>
        <v>40.407325126730129</v>
      </c>
      <c r="R710" t="s">
        <v>49</v>
      </c>
      <c r="S710" t="s">
        <v>41</v>
      </c>
      <c r="T710">
        <v>3.4</v>
      </c>
    </row>
    <row r="711" spans="1:20">
      <c r="A711" t="s">
        <v>779</v>
      </c>
      <c r="B711" s="3">
        <v>45810</v>
      </c>
      <c r="C711" t="s">
        <v>21</v>
      </c>
      <c r="D711" t="s">
        <v>26</v>
      </c>
      <c r="E711" t="s">
        <v>70</v>
      </c>
      <c r="F711" t="s">
        <v>22</v>
      </c>
      <c r="G711" t="s">
        <v>33</v>
      </c>
      <c r="H711">
        <v>45</v>
      </c>
      <c r="I711">
        <v>761.68</v>
      </c>
      <c r="J711">
        <v>505.53</v>
      </c>
      <c r="K711">
        <f t="shared" si="66"/>
        <v>34275.599999999999</v>
      </c>
      <c r="L711">
        <v>0.1</v>
      </c>
      <c r="M711">
        <f t="shared" si="67"/>
        <v>3427.56</v>
      </c>
      <c r="N711">
        <f t="shared" si="68"/>
        <v>30848.039999999997</v>
      </c>
      <c r="O711">
        <f t="shared" si="69"/>
        <v>22748.85</v>
      </c>
      <c r="P711">
        <f t="shared" si="70"/>
        <v>8099.1899999999987</v>
      </c>
      <c r="Q711">
        <f t="shared" si="71"/>
        <v>26.25512026047684</v>
      </c>
      <c r="R711" t="s">
        <v>49</v>
      </c>
      <c r="S711" t="s">
        <v>47</v>
      </c>
      <c r="T711">
        <v>3.7</v>
      </c>
    </row>
    <row r="712" spans="1:20">
      <c r="A712" t="s">
        <v>780</v>
      </c>
      <c r="B712" s="3">
        <v>45811</v>
      </c>
      <c r="C712" t="s">
        <v>21</v>
      </c>
      <c r="D712" t="s">
        <v>30</v>
      </c>
      <c r="E712" t="s">
        <v>68</v>
      </c>
      <c r="F712" t="s">
        <v>22</v>
      </c>
      <c r="G712" t="s">
        <v>33</v>
      </c>
      <c r="H712">
        <v>27</v>
      </c>
      <c r="I712">
        <v>1156.75</v>
      </c>
      <c r="J712">
        <v>749.52</v>
      </c>
      <c r="K712">
        <f t="shared" si="66"/>
        <v>31232.25</v>
      </c>
      <c r="L712">
        <v>0</v>
      </c>
      <c r="M712">
        <f t="shared" si="67"/>
        <v>0</v>
      </c>
      <c r="N712">
        <f t="shared" si="68"/>
        <v>31232.25</v>
      </c>
      <c r="O712">
        <f t="shared" si="69"/>
        <v>20237.04</v>
      </c>
      <c r="P712">
        <f t="shared" si="70"/>
        <v>10995.21</v>
      </c>
      <c r="Q712">
        <f t="shared" si="71"/>
        <v>35.204668251566886</v>
      </c>
      <c r="R712" t="s">
        <v>50</v>
      </c>
      <c r="S712" t="s">
        <v>41</v>
      </c>
      <c r="T712">
        <v>3.1</v>
      </c>
    </row>
    <row r="713" spans="1:20">
      <c r="A713" t="s">
        <v>781</v>
      </c>
      <c r="B713" s="3">
        <v>45811</v>
      </c>
      <c r="C713" t="s">
        <v>21</v>
      </c>
      <c r="D713" t="s">
        <v>30</v>
      </c>
      <c r="E713" t="s">
        <v>68</v>
      </c>
      <c r="F713" t="s">
        <v>22</v>
      </c>
      <c r="G713" t="s">
        <v>35</v>
      </c>
      <c r="H713">
        <v>9</v>
      </c>
      <c r="I713">
        <v>300.61</v>
      </c>
      <c r="J713">
        <v>204.68</v>
      </c>
      <c r="K713">
        <f t="shared" si="66"/>
        <v>2705.4900000000002</v>
      </c>
      <c r="L713">
        <v>0</v>
      </c>
      <c r="M713">
        <f t="shared" si="67"/>
        <v>0</v>
      </c>
      <c r="N713">
        <f t="shared" si="68"/>
        <v>2705.4900000000002</v>
      </c>
      <c r="O713">
        <f t="shared" si="69"/>
        <v>1842.1200000000001</v>
      </c>
      <c r="P713">
        <f t="shared" si="70"/>
        <v>863.37000000000012</v>
      </c>
      <c r="Q713">
        <f t="shared" si="71"/>
        <v>31.911779381923424</v>
      </c>
      <c r="R713" t="s">
        <v>50</v>
      </c>
      <c r="S713" t="s">
        <v>45</v>
      </c>
      <c r="T713">
        <v>3.4</v>
      </c>
    </row>
    <row r="714" spans="1:20">
      <c r="A714" t="s">
        <v>782</v>
      </c>
      <c r="B714" s="3">
        <v>45812</v>
      </c>
      <c r="C714" t="s">
        <v>21</v>
      </c>
      <c r="D714" t="s">
        <v>28</v>
      </c>
      <c r="E714" t="s">
        <v>68</v>
      </c>
      <c r="F714" t="s">
        <v>24</v>
      </c>
      <c r="G714" t="s">
        <v>29</v>
      </c>
      <c r="H714">
        <v>20</v>
      </c>
      <c r="I714">
        <v>1294.56</v>
      </c>
      <c r="J714">
        <v>784.1</v>
      </c>
      <c r="K714">
        <f t="shared" si="66"/>
        <v>25891.199999999997</v>
      </c>
      <c r="L714">
        <v>0.15</v>
      </c>
      <c r="M714">
        <f t="shared" si="67"/>
        <v>3883.6799999999994</v>
      </c>
      <c r="N714">
        <f t="shared" si="68"/>
        <v>22007.519999999997</v>
      </c>
      <c r="O714">
        <f t="shared" si="69"/>
        <v>15682</v>
      </c>
      <c r="P714">
        <f t="shared" si="70"/>
        <v>6325.5199999999968</v>
      </c>
      <c r="Q714">
        <f t="shared" si="71"/>
        <v>28.742538913971217</v>
      </c>
      <c r="R714" t="s">
        <v>49</v>
      </c>
      <c r="S714" t="s">
        <v>45</v>
      </c>
      <c r="T714">
        <v>3.8</v>
      </c>
    </row>
    <row r="715" spans="1:20">
      <c r="A715" t="s">
        <v>783</v>
      </c>
      <c r="B715" s="3">
        <v>45812</v>
      </c>
      <c r="C715" t="s">
        <v>21</v>
      </c>
      <c r="D715" t="s">
        <v>32</v>
      </c>
      <c r="E715" t="s">
        <v>70</v>
      </c>
      <c r="F715" t="s">
        <v>22</v>
      </c>
      <c r="G715" t="s">
        <v>35</v>
      </c>
      <c r="H715">
        <v>31</v>
      </c>
      <c r="I715">
        <v>463.16</v>
      </c>
      <c r="J715">
        <v>332.38</v>
      </c>
      <c r="K715">
        <f t="shared" si="66"/>
        <v>14357.960000000001</v>
      </c>
      <c r="L715">
        <v>0.05</v>
      </c>
      <c r="M715">
        <f t="shared" si="67"/>
        <v>717.89800000000014</v>
      </c>
      <c r="N715">
        <f t="shared" si="68"/>
        <v>13640.062000000002</v>
      </c>
      <c r="O715">
        <f t="shared" si="69"/>
        <v>10303.780000000001</v>
      </c>
      <c r="P715">
        <f t="shared" si="70"/>
        <v>3336.2820000000011</v>
      </c>
      <c r="Q715">
        <f t="shared" si="71"/>
        <v>24.459434275298754</v>
      </c>
      <c r="R715" t="s">
        <v>49</v>
      </c>
      <c r="S715" t="s">
        <v>43</v>
      </c>
      <c r="T715">
        <v>3.5</v>
      </c>
    </row>
    <row r="716" spans="1:20">
      <c r="A716" t="s">
        <v>784</v>
      </c>
      <c r="B716" s="3">
        <v>45813</v>
      </c>
      <c r="C716" t="s">
        <v>21</v>
      </c>
      <c r="D716" t="s">
        <v>28</v>
      </c>
      <c r="E716" t="s">
        <v>68</v>
      </c>
      <c r="F716" t="s">
        <v>23</v>
      </c>
      <c r="G716" t="s">
        <v>44</v>
      </c>
      <c r="H716">
        <v>5</v>
      </c>
      <c r="I716">
        <v>1035.3900000000001</v>
      </c>
      <c r="J716">
        <v>825.9</v>
      </c>
      <c r="K716">
        <f t="shared" si="66"/>
        <v>5176.9500000000007</v>
      </c>
      <c r="L716">
        <v>0</v>
      </c>
      <c r="M716">
        <f t="shared" si="67"/>
        <v>0</v>
      </c>
      <c r="N716">
        <f t="shared" si="68"/>
        <v>5176.9500000000007</v>
      </c>
      <c r="O716">
        <f t="shared" si="69"/>
        <v>4129.5</v>
      </c>
      <c r="P716">
        <f t="shared" si="70"/>
        <v>1047.4500000000007</v>
      </c>
      <c r="Q716">
        <f t="shared" si="71"/>
        <v>20.232955697852994</v>
      </c>
      <c r="R716" t="s">
        <v>49</v>
      </c>
      <c r="S716" t="s">
        <v>47</v>
      </c>
      <c r="T716">
        <v>4.7</v>
      </c>
    </row>
    <row r="717" spans="1:20">
      <c r="A717" t="s">
        <v>785</v>
      </c>
      <c r="B717" s="3">
        <v>45813</v>
      </c>
      <c r="C717" t="s">
        <v>21</v>
      </c>
      <c r="D717" t="s">
        <v>30</v>
      </c>
      <c r="E717" t="s">
        <v>68</v>
      </c>
      <c r="F717" t="s">
        <v>22</v>
      </c>
      <c r="G717" t="s">
        <v>35</v>
      </c>
      <c r="H717">
        <v>15</v>
      </c>
      <c r="I717">
        <v>85.83</v>
      </c>
      <c r="J717">
        <v>52.71</v>
      </c>
      <c r="K717">
        <f t="shared" si="66"/>
        <v>1287.45</v>
      </c>
      <c r="L717">
        <v>0.25</v>
      </c>
      <c r="M717">
        <f t="shared" si="67"/>
        <v>321.86250000000001</v>
      </c>
      <c r="N717">
        <f t="shared" si="68"/>
        <v>965.58750000000009</v>
      </c>
      <c r="O717">
        <f t="shared" si="69"/>
        <v>790.65</v>
      </c>
      <c r="P717">
        <f t="shared" si="70"/>
        <v>174.93750000000011</v>
      </c>
      <c r="Q717">
        <f t="shared" si="71"/>
        <v>18.11720843527905</v>
      </c>
      <c r="R717" t="s">
        <v>49</v>
      </c>
      <c r="S717" t="s">
        <v>41</v>
      </c>
      <c r="T717">
        <v>3.2</v>
      </c>
    </row>
    <row r="718" spans="1:20">
      <c r="A718" t="s">
        <v>786</v>
      </c>
      <c r="B718" s="3">
        <v>45813</v>
      </c>
      <c r="C718" t="s">
        <v>21</v>
      </c>
      <c r="D718" t="s">
        <v>32</v>
      </c>
      <c r="E718" t="s">
        <v>68</v>
      </c>
      <c r="F718" t="s">
        <v>20</v>
      </c>
      <c r="G718" t="s">
        <v>31</v>
      </c>
      <c r="H718">
        <v>8</v>
      </c>
      <c r="I718">
        <v>249.24</v>
      </c>
      <c r="J718">
        <v>97.79</v>
      </c>
      <c r="K718">
        <f t="shared" si="66"/>
        <v>1993.92</v>
      </c>
      <c r="L718">
        <v>0</v>
      </c>
      <c r="M718">
        <f t="shared" si="67"/>
        <v>0</v>
      </c>
      <c r="N718">
        <f t="shared" si="68"/>
        <v>1993.92</v>
      </c>
      <c r="O718">
        <f t="shared" si="69"/>
        <v>782.32</v>
      </c>
      <c r="P718">
        <f t="shared" si="70"/>
        <v>1211.5999999999999</v>
      </c>
      <c r="Q718">
        <f t="shared" si="71"/>
        <v>60.764724763280363</v>
      </c>
      <c r="R718" t="s">
        <v>50</v>
      </c>
      <c r="S718" t="s">
        <v>41</v>
      </c>
      <c r="T718">
        <v>4.5999999999999996</v>
      </c>
    </row>
    <row r="719" spans="1:20">
      <c r="A719" t="s">
        <v>787</v>
      </c>
      <c r="B719" s="3">
        <v>45814</v>
      </c>
      <c r="C719" t="s">
        <v>21</v>
      </c>
      <c r="D719" t="s">
        <v>26</v>
      </c>
      <c r="E719" t="s">
        <v>86</v>
      </c>
      <c r="F719" t="s">
        <v>23</v>
      </c>
      <c r="G719" t="s">
        <v>44</v>
      </c>
      <c r="H719">
        <v>18</v>
      </c>
      <c r="I719">
        <v>1385.7</v>
      </c>
      <c r="J719">
        <v>977.26</v>
      </c>
      <c r="K719">
        <f t="shared" si="66"/>
        <v>24942.600000000002</v>
      </c>
      <c r="L719">
        <v>0.1</v>
      </c>
      <c r="M719">
        <f t="shared" si="67"/>
        <v>2494.2600000000002</v>
      </c>
      <c r="N719">
        <f t="shared" si="68"/>
        <v>22448.340000000004</v>
      </c>
      <c r="O719">
        <f t="shared" si="69"/>
        <v>17590.68</v>
      </c>
      <c r="P719">
        <f t="shared" si="70"/>
        <v>4857.6600000000035</v>
      </c>
      <c r="Q719">
        <f t="shared" si="71"/>
        <v>21.639283795594697</v>
      </c>
      <c r="R719" t="s">
        <v>51</v>
      </c>
      <c r="S719" t="s">
        <v>41</v>
      </c>
      <c r="T719">
        <v>4.7</v>
      </c>
    </row>
    <row r="720" spans="1:20">
      <c r="A720" t="s">
        <v>788</v>
      </c>
      <c r="B720" s="3">
        <v>45814</v>
      </c>
      <c r="C720" t="s">
        <v>21</v>
      </c>
      <c r="D720" t="s">
        <v>28</v>
      </c>
      <c r="E720" t="s">
        <v>68</v>
      </c>
      <c r="F720" t="s">
        <v>20</v>
      </c>
      <c r="G720" t="s">
        <v>34</v>
      </c>
      <c r="H720">
        <v>13</v>
      </c>
      <c r="I720">
        <v>1101.6300000000001</v>
      </c>
      <c r="J720">
        <v>626.75</v>
      </c>
      <c r="K720">
        <f t="shared" si="66"/>
        <v>14321.190000000002</v>
      </c>
      <c r="L720">
        <v>0.25</v>
      </c>
      <c r="M720">
        <f t="shared" si="67"/>
        <v>3580.2975000000006</v>
      </c>
      <c r="N720">
        <f t="shared" si="68"/>
        <v>10740.892500000002</v>
      </c>
      <c r="O720">
        <f t="shared" si="69"/>
        <v>8147.75</v>
      </c>
      <c r="P720">
        <f t="shared" si="70"/>
        <v>2593.1425000000017</v>
      </c>
      <c r="Q720">
        <f t="shared" si="71"/>
        <v>24.142709742230466</v>
      </c>
      <c r="R720" t="s">
        <v>50</v>
      </c>
      <c r="S720" t="s">
        <v>41</v>
      </c>
      <c r="T720">
        <v>4.2</v>
      </c>
    </row>
    <row r="721" spans="1:20">
      <c r="A721" t="s">
        <v>789</v>
      </c>
      <c r="B721" s="3">
        <v>45815</v>
      </c>
      <c r="C721" t="s">
        <v>21</v>
      </c>
      <c r="D721" t="s">
        <v>32</v>
      </c>
      <c r="E721" t="s">
        <v>86</v>
      </c>
      <c r="F721" t="s">
        <v>22</v>
      </c>
      <c r="G721" t="s">
        <v>42</v>
      </c>
      <c r="H721">
        <v>39</v>
      </c>
      <c r="I721">
        <v>1363.56</v>
      </c>
      <c r="J721">
        <v>891.53</v>
      </c>
      <c r="K721">
        <f t="shared" si="66"/>
        <v>53178.84</v>
      </c>
      <c r="L721">
        <v>0</v>
      </c>
      <c r="M721">
        <f t="shared" si="67"/>
        <v>0</v>
      </c>
      <c r="N721">
        <f t="shared" si="68"/>
        <v>53178.84</v>
      </c>
      <c r="O721">
        <f t="shared" si="69"/>
        <v>34769.67</v>
      </c>
      <c r="P721">
        <f t="shared" si="70"/>
        <v>18409.169999999998</v>
      </c>
      <c r="Q721">
        <f t="shared" si="71"/>
        <v>34.61747191176039</v>
      </c>
      <c r="R721" t="s">
        <v>49</v>
      </c>
      <c r="S721" t="s">
        <v>41</v>
      </c>
      <c r="T721">
        <v>4.9000000000000004</v>
      </c>
    </row>
    <row r="722" spans="1:20">
      <c r="A722" t="s">
        <v>790</v>
      </c>
      <c r="B722" s="3">
        <v>45816</v>
      </c>
      <c r="C722" t="s">
        <v>21</v>
      </c>
      <c r="D722" t="s">
        <v>28</v>
      </c>
      <c r="E722" t="s">
        <v>68</v>
      </c>
      <c r="F722" t="s">
        <v>20</v>
      </c>
      <c r="G722" t="s">
        <v>31</v>
      </c>
      <c r="H722">
        <v>31</v>
      </c>
      <c r="I722">
        <v>40.380000000000003</v>
      </c>
      <c r="J722">
        <v>14.76</v>
      </c>
      <c r="K722">
        <f t="shared" si="66"/>
        <v>1251.78</v>
      </c>
      <c r="L722">
        <v>0</v>
      </c>
      <c r="M722">
        <f t="shared" si="67"/>
        <v>0</v>
      </c>
      <c r="N722">
        <f t="shared" si="68"/>
        <v>1251.78</v>
      </c>
      <c r="O722">
        <f t="shared" si="69"/>
        <v>457.56</v>
      </c>
      <c r="P722">
        <f t="shared" si="70"/>
        <v>794.22</v>
      </c>
      <c r="Q722">
        <f t="shared" si="71"/>
        <v>63.447251114413085</v>
      </c>
      <c r="R722" t="s">
        <v>51</v>
      </c>
      <c r="S722" t="s">
        <v>41</v>
      </c>
      <c r="T722">
        <v>4.9000000000000004</v>
      </c>
    </row>
    <row r="723" spans="1:20">
      <c r="A723" t="s">
        <v>791</v>
      </c>
      <c r="B723" s="3">
        <v>45816</v>
      </c>
      <c r="C723" t="s">
        <v>21</v>
      </c>
      <c r="D723" t="s">
        <v>28</v>
      </c>
      <c r="E723" t="s">
        <v>68</v>
      </c>
      <c r="F723" t="s">
        <v>22</v>
      </c>
      <c r="G723" t="s">
        <v>35</v>
      </c>
      <c r="H723">
        <v>15</v>
      </c>
      <c r="I723">
        <v>1153.0899999999999</v>
      </c>
      <c r="J723">
        <v>880.68</v>
      </c>
      <c r="K723">
        <f t="shared" si="66"/>
        <v>17296.349999999999</v>
      </c>
      <c r="L723">
        <v>0</v>
      </c>
      <c r="M723">
        <f t="shared" si="67"/>
        <v>0</v>
      </c>
      <c r="N723">
        <f t="shared" si="68"/>
        <v>17296.349999999999</v>
      </c>
      <c r="O723">
        <f t="shared" si="69"/>
        <v>13210.199999999999</v>
      </c>
      <c r="P723">
        <f t="shared" si="70"/>
        <v>4086.1499999999996</v>
      </c>
      <c r="Q723">
        <f t="shared" si="71"/>
        <v>23.624348489710258</v>
      </c>
      <c r="R723" t="s">
        <v>50</v>
      </c>
      <c r="S723" t="s">
        <v>45</v>
      </c>
      <c r="T723">
        <v>3.1</v>
      </c>
    </row>
    <row r="724" spans="1:20">
      <c r="A724" t="s">
        <v>792</v>
      </c>
      <c r="B724" s="3">
        <v>45817</v>
      </c>
      <c r="C724" t="s">
        <v>21</v>
      </c>
      <c r="D724" t="s">
        <v>30</v>
      </c>
      <c r="E724" t="s">
        <v>68</v>
      </c>
      <c r="F724" t="s">
        <v>23</v>
      </c>
      <c r="G724" t="s">
        <v>44</v>
      </c>
      <c r="H724">
        <v>18</v>
      </c>
      <c r="I724">
        <v>1081.67</v>
      </c>
      <c r="J724">
        <v>908.63</v>
      </c>
      <c r="K724">
        <f t="shared" si="66"/>
        <v>19470.060000000001</v>
      </c>
      <c r="L724">
        <v>0</v>
      </c>
      <c r="M724">
        <f t="shared" si="67"/>
        <v>0</v>
      </c>
      <c r="N724">
        <f t="shared" si="68"/>
        <v>19470.060000000001</v>
      </c>
      <c r="O724">
        <f t="shared" si="69"/>
        <v>16355.34</v>
      </c>
      <c r="P724">
        <f t="shared" si="70"/>
        <v>3114.7200000000012</v>
      </c>
      <c r="Q724">
        <f t="shared" si="71"/>
        <v>15.997485369844783</v>
      </c>
      <c r="R724" t="s">
        <v>50</v>
      </c>
      <c r="S724" t="s">
        <v>47</v>
      </c>
      <c r="T724">
        <v>3.9</v>
      </c>
    </row>
    <row r="725" spans="1:20">
      <c r="A725" t="s">
        <v>793</v>
      </c>
      <c r="B725" s="3">
        <v>45817</v>
      </c>
      <c r="C725" t="s">
        <v>21</v>
      </c>
      <c r="D725" t="s">
        <v>32</v>
      </c>
      <c r="E725" t="s">
        <v>68</v>
      </c>
      <c r="F725" t="s">
        <v>23</v>
      </c>
      <c r="G725" t="s">
        <v>37</v>
      </c>
      <c r="H725">
        <v>20</v>
      </c>
      <c r="I725">
        <v>417.55</v>
      </c>
      <c r="J725">
        <v>308.5</v>
      </c>
      <c r="K725">
        <f t="shared" si="66"/>
        <v>8351</v>
      </c>
      <c r="L725">
        <v>0</v>
      </c>
      <c r="M725">
        <f t="shared" si="67"/>
        <v>0</v>
      </c>
      <c r="N725">
        <f t="shared" si="68"/>
        <v>8351</v>
      </c>
      <c r="O725">
        <f t="shared" si="69"/>
        <v>6170</v>
      </c>
      <c r="P725">
        <f t="shared" si="70"/>
        <v>2181</v>
      </c>
      <c r="Q725">
        <f t="shared" si="71"/>
        <v>26.116632738594181</v>
      </c>
      <c r="R725" t="s">
        <v>49</v>
      </c>
      <c r="S725" t="s">
        <v>41</v>
      </c>
      <c r="T725">
        <v>5</v>
      </c>
    </row>
    <row r="726" spans="1:20">
      <c r="A726" t="s">
        <v>794</v>
      </c>
      <c r="B726" s="3">
        <v>45818</v>
      </c>
      <c r="C726" t="s">
        <v>21</v>
      </c>
      <c r="D726" t="s">
        <v>28</v>
      </c>
      <c r="E726" t="s">
        <v>68</v>
      </c>
      <c r="F726" t="s">
        <v>20</v>
      </c>
      <c r="G726" t="s">
        <v>34</v>
      </c>
      <c r="H726">
        <v>31</v>
      </c>
      <c r="I726">
        <v>1142.27</v>
      </c>
      <c r="J726">
        <v>521.30999999999995</v>
      </c>
      <c r="K726">
        <f t="shared" si="66"/>
        <v>35410.370000000003</v>
      </c>
      <c r="L726">
        <v>0.1</v>
      </c>
      <c r="M726">
        <f t="shared" si="67"/>
        <v>3541.0370000000003</v>
      </c>
      <c r="N726">
        <f t="shared" si="68"/>
        <v>31869.333000000002</v>
      </c>
      <c r="O726">
        <f t="shared" si="69"/>
        <v>16160.609999999999</v>
      </c>
      <c r="P726">
        <f t="shared" si="70"/>
        <v>15708.723000000004</v>
      </c>
      <c r="Q726">
        <f t="shared" si="71"/>
        <v>49.291031600818265</v>
      </c>
      <c r="R726" t="s">
        <v>49</v>
      </c>
      <c r="S726" t="s">
        <v>41</v>
      </c>
      <c r="T726">
        <v>4.4000000000000004</v>
      </c>
    </row>
    <row r="727" spans="1:20">
      <c r="A727" t="s">
        <v>795</v>
      </c>
      <c r="B727" s="3">
        <v>45819</v>
      </c>
      <c r="C727" t="s">
        <v>21</v>
      </c>
      <c r="D727" t="s">
        <v>28</v>
      </c>
      <c r="E727" t="s">
        <v>68</v>
      </c>
      <c r="F727" t="s">
        <v>20</v>
      </c>
      <c r="G727" t="s">
        <v>34</v>
      </c>
      <c r="H727">
        <v>27</v>
      </c>
      <c r="I727">
        <v>1144.27</v>
      </c>
      <c r="J727">
        <v>445.74</v>
      </c>
      <c r="K727">
        <f t="shared" si="66"/>
        <v>30895.29</v>
      </c>
      <c r="L727">
        <v>0</v>
      </c>
      <c r="M727">
        <f t="shared" si="67"/>
        <v>0</v>
      </c>
      <c r="N727">
        <f t="shared" si="68"/>
        <v>30895.29</v>
      </c>
      <c r="O727">
        <f t="shared" si="69"/>
        <v>12034.98</v>
      </c>
      <c r="P727">
        <f t="shared" si="70"/>
        <v>18860.310000000001</v>
      </c>
      <c r="Q727">
        <f t="shared" si="71"/>
        <v>61.045906997474376</v>
      </c>
      <c r="R727" t="s">
        <v>49</v>
      </c>
      <c r="S727" t="s">
        <v>47</v>
      </c>
      <c r="T727">
        <v>4.7</v>
      </c>
    </row>
    <row r="728" spans="1:20">
      <c r="A728" t="s">
        <v>796</v>
      </c>
      <c r="B728" s="3">
        <v>45820</v>
      </c>
      <c r="C728" t="s">
        <v>21</v>
      </c>
      <c r="D728" t="s">
        <v>28</v>
      </c>
      <c r="E728" t="s">
        <v>86</v>
      </c>
      <c r="F728" t="s">
        <v>23</v>
      </c>
      <c r="G728" t="s">
        <v>37</v>
      </c>
      <c r="H728">
        <v>20</v>
      </c>
      <c r="I728">
        <v>1363.93</v>
      </c>
      <c r="J728">
        <v>1130.74</v>
      </c>
      <c r="K728">
        <f t="shared" si="66"/>
        <v>27278.600000000002</v>
      </c>
      <c r="L728">
        <v>0.05</v>
      </c>
      <c r="M728">
        <f t="shared" si="67"/>
        <v>1363.9300000000003</v>
      </c>
      <c r="N728">
        <f t="shared" si="68"/>
        <v>25914.670000000002</v>
      </c>
      <c r="O728">
        <f t="shared" si="69"/>
        <v>22614.799999999999</v>
      </c>
      <c r="P728">
        <f t="shared" si="70"/>
        <v>3299.8700000000026</v>
      </c>
      <c r="Q728">
        <f t="shared" si="71"/>
        <v>12.733598382692129</v>
      </c>
      <c r="R728" t="s">
        <v>49</v>
      </c>
      <c r="S728" t="s">
        <v>41</v>
      </c>
      <c r="T728">
        <v>4.0999999999999996</v>
      </c>
    </row>
    <row r="729" spans="1:20">
      <c r="A729" t="s">
        <v>797</v>
      </c>
      <c r="B729" s="3">
        <v>45821</v>
      </c>
      <c r="C729" t="s">
        <v>21</v>
      </c>
      <c r="D729" t="s">
        <v>30</v>
      </c>
      <c r="E729" t="s">
        <v>70</v>
      </c>
      <c r="F729" t="s">
        <v>20</v>
      </c>
      <c r="G729" t="s">
        <v>34</v>
      </c>
      <c r="H729">
        <v>48</v>
      </c>
      <c r="I729">
        <v>405.41</v>
      </c>
      <c r="J729">
        <v>162.63999999999999</v>
      </c>
      <c r="K729">
        <f t="shared" si="66"/>
        <v>19459.68</v>
      </c>
      <c r="L729">
        <v>0.25</v>
      </c>
      <c r="M729">
        <f t="shared" si="67"/>
        <v>4864.92</v>
      </c>
      <c r="N729">
        <f t="shared" si="68"/>
        <v>14594.76</v>
      </c>
      <c r="O729">
        <f t="shared" si="69"/>
        <v>7806.7199999999993</v>
      </c>
      <c r="P729">
        <f t="shared" si="70"/>
        <v>6788.0400000000009</v>
      </c>
      <c r="Q729">
        <f t="shared" si="71"/>
        <v>46.51011732978138</v>
      </c>
      <c r="R729" t="s">
        <v>49</v>
      </c>
      <c r="S729" t="s">
        <v>41</v>
      </c>
      <c r="T729">
        <v>3.5</v>
      </c>
    </row>
    <row r="730" spans="1:20">
      <c r="A730" t="s">
        <v>798</v>
      </c>
      <c r="B730" s="3">
        <v>45821</v>
      </c>
      <c r="C730" t="s">
        <v>21</v>
      </c>
      <c r="D730" t="s">
        <v>26</v>
      </c>
      <c r="E730" t="s">
        <v>70</v>
      </c>
      <c r="F730" t="s">
        <v>20</v>
      </c>
      <c r="G730" t="s">
        <v>36</v>
      </c>
      <c r="H730">
        <v>40</v>
      </c>
      <c r="I730">
        <v>679.32</v>
      </c>
      <c r="J730">
        <v>373.35</v>
      </c>
      <c r="K730">
        <f t="shared" si="66"/>
        <v>27172.800000000003</v>
      </c>
      <c r="L730">
        <v>0.15</v>
      </c>
      <c r="M730">
        <f t="shared" si="67"/>
        <v>4075.92</v>
      </c>
      <c r="N730">
        <f t="shared" si="68"/>
        <v>23096.880000000005</v>
      </c>
      <c r="O730">
        <f t="shared" si="69"/>
        <v>14934</v>
      </c>
      <c r="P730">
        <f t="shared" si="70"/>
        <v>8162.8800000000047</v>
      </c>
      <c r="Q730">
        <f t="shared" si="71"/>
        <v>35.341916310774458</v>
      </c>
      <c r="R730" t="s">
        <v>49</v>
      </c>
      <c r="S730" t="s">
        <v>41</v>
      </c>
      <c r="T730">
        <v>4.3</v>
      </c>
    </row>
    <row r="731" spans="1:20">
      <c r="A731" t="s">
        <v>799</v>
      </c>
      <c r="B731" s="3">
        <v>45822</v>
      </c>
      <c r="C731" t="s">
        <v>21</v>
      </c>
      <c r="D731" t="s">
        <v>28</v>
      </c>
      <c r="E731" t="s">
        <v>68</v>
      </c>
      <c r="F731" t="s">
        <v>20</v>
      </c>
      <c r="G731" t="s">
        <v>34</v>
      </c>
      <c r="H731">
        <v>42</v>
      </c>
      <c r="I731">
        <v>945</v>
      </c>
      <c r="J731">
        <v>528.34</v>
      </c>
      <c r="K731">
        <f t="shared" si="66"/>
        <v>39690</v>
      </c>
      <c r="L731">
        <v>0.1</v>
      </c>
      <c r="M731">
        <f t="shared" si="67"/>
        <v>3969</v>
      </c>
      <c r="N731">
        <f t="shared" si="68"/>
        <v>35721</v>
      </c>
      <c r="O731">
        <f t="shared" si="69"/>
        <v>22190.280000000002</v>
      </c>
      <c r="P731">
        <f t="shared" si="70"/>
        <v>13530.719999999998</v>
      </c>
      <c r="Q731">
        <f t="shared" si="71"/>
        <v>37.878894767783649</v>
      </c>
      <c r="R731" t="s">
        <v>49</v>
      </c>
      <c r="S731" t="s">
        <v>43</v>
      </c>
      <c r="T731">
        <v>3.3</v>
      </c>
    </row>
    <row r="732" spans="1:20">
      <c r="A732" t="s">
        <v>800</v>
      </c>
      <c r="B732" s="3">
        <v>45823</v>
      </c>
      <c r="C732" t="s">
        <v>21</v>
      </c>
      <c r="D732" t="s">
        <v>28</v>
      </c>
      <c r="E732" t="s">
        <v>68</v>
      </c>
      <c r="F732" t="s">
        <v>24</v>
      </c>
      <c r="G732" t="s">
        <v>46</v>
      </c>
      <c r="H732">
        <v>9</v>
      </c>
      <c r="I732">
        <v>235.85</v>
      </c>
      <c r="J732">
        <v>157.35</v>
      </c>
      <c r="K732">
        <f t="shared" si="66"/>
        <v>2122.65</v>
      </c>
      <c r="L732">
        <v>0</v>
      </c>
      <c r="M732">
        <f t="shared" si="67"/>
        <v>0</v>
      </c>
      <c r="N732">
        <f t="shared" si="68"/>
        <v>2122.65</v>
      </c>
      <c r="O732">
        <f t="shared" si="69"/>
        <v>1416.1499999999999</v>
      </c>
      <c r="P732">
        <f t="shared" si="70"/>
        <v>706.50000000000023</v>
      </c>
      <c r="Q732">
        <f t="shared" si="71"/>
        <v>33.283866864532555</v>
      </c>
      <c r="R732" t="s">
        <v>50</v>
      </c>
      <c r="S732" t="s">
        <v>41</v>
      </c>
      <c r="T732">
        <v>3.4</v>
      </c>
    </row>
    <row r="733" spans="1:20">
      <c r="A733" t="s">
        <v>801</v>
      </c>
      <c r="B733" s="3">
        <v>45823</v>
      </c>
      <c r="C733" t="s">
        <v>21</v>
      </c>
      <c r="D733" t="s">
        <v>32</v>
      </c>
      <c r="E733" t="s">
        <v>68</v>
      </c>
      <c r="F733" t="s">
        <v>24</v>
      </c>
      <c r="G733" t="s">
        <v>46</v>
      </c>
      <c r="H733">
        <v>18</v>
      </c>
      <c r="I733">
        <v>426.25</v>
      </c>
      <c r="J733">
        <v>228.93</v>
      </c>
      <c r="K733">
        <f t="shared" si="66"/>
        <v>7672.5</v>
      </c>
      <c r="L733">
        <v>0.1</v>
      </c>
      <c r="M733">
        <f t="shared" si="67"/>
        <v>767.25</v>
      </c>
      <c r="N733">
        <f t="shared" si="68"/>
        <v>6905.25</v>
      </c>
      <c r="O733">
        <f t="shared" si="69"/>
        <v>4120.74</v>
      </c>
      <c r="P733">
        <f t="shared" si="70"/>
        <v>2784.51</v>
      </c>
      <c r="Q733">
        <f t="shared" si="71"/>
        <v>40.324535679374392</v>
      </c>
      <c r="R733" t="s">
        <v>49</v>
      </c>
      <c r="S733" t="s">
        <v>47</v>
      </c>
      <c r="T733">
        <v>3.8</v>
      </c>
    </row>
    <row r="734" spans="1:20">
      <c r="A734" t="s">
        <v>802</v>
      </c>
      <c r="B734" s="3">
        <v>45824</v>
      </c>
      <c r="C734" t="s">
        <v>21</v>
      </c>
      <c r="D734" t="s">
        <v>30</v>
      </c>
      <c r="E734" t="s">
        <v>70</v>
      </c>
      <c r="F734" t="s">
        <v>20</v>
      </c>
      <c r="G734" t="s">
        <v>34</v>
      </c>
      <c r="H734">
        <v>27</v>
      </c>
      <c r="I734">
        <v>432.83</v>
      </c>
      <c r="J734">
        <v>187.72</v>
      </c>
      <c r="K734">
        <f t="shared" si="66"/>
        <v>11686.41</v>
      </c>
      <c r="L734">
        <v>0.05</v>
      </c>
      <c r="M734">
        <f t="shared" si="67"/>
        <v>584.32050000000004</v>
      </c>
      <c r="N734">
        <f t="shared" si="68"/>
        <v>11102.0895</v>
      </c>
      <c r="O734">
        <f t="shared" si="69"/>
        <v>5068.4399999999996</v>
      </c>
      <c r="P734">
        <f t="shared" si="70"/>
        <v>6033.6495000000004</v>
      </c>
      <c r="Q734">
        <f t="shared" si="71"/>
        <v>54.346972252385463</v>
      </c>
      <c r="R734" t="s">
        <v>49</v>
      </c>
      <c r="S734" t="s">
        <v>41</v>
      </c>
      <c r="T734">
        <v>3.6</v>
      </c>
    </row>
    <row r="735" spans="1:20">
      <c r="A735" t="s">
        <v>803</v>
      </c>
      <c r="B735" s="3">
        <v>45824</v>
      </c>
      <c r="C735" t="s">
        <v>21</v>
      </c>
      <c r="D735" t="s">
        <v>32</v>
      </c>
      <c r="E735" t="s">
        <v>86</v>
      </c>
      <c r="F735" t="s">
        <v>22</v>
      </c>
      <c r="G735" t="s">
        <v>35</v>
      </c>
      <c r="H735">
        <v>34</v>
      </c>
      <c r="I735">
        <v>755.6</v>
      </c>
      <c r="J735">
        <v>525.42999999999995</v>
      </c>
      <c r="K735">
        <f t="shared" si="66"/>
        <v>25690.400000000001</v>
      </c>
      <c r="L735">
        <v>0.05</v>
      </c>
      <c r="M735">
        <f t="shared" si="67"/>
        <v>1284.5200000000002</v>
      </c>
      <c r="N735">
        <f t="shared" si="68"/>
        <v>24405.88</v>
      </c>
      <c r="O735">
        <f t="shared" si="69"/>
        <v>17864.62</v>
      </c>
      <c r="P735">
        <f t="shared" si="70"/>
        <v>6541.260000000002</v>
      </c>
      <c r="Q735">
        <f t="shared" si="71"/>
        <v>26.80198378423561</v>
      </c>
      <c r="R735" t="s">
        <v>51</v>
      </c>
      <c r="S735" t="s">
        <v>43</v>
      </c>
      <c r="T735">
        <v>3.2</v>
      </c>
    </row>
    <row r="736" spans="1:20">
      <c r="A736" t="s">
        <v>804</v>
      </c>
      <c r="B736" s="3">
        <v>45826</v>
      </c>
      <c r="C736" t="s">
        <v>21</v>
      </c>
      <c r="D736" t="s">
        <v>28</v>
      </c>
      <c r="E736" t="s">
        <v>68</v>
      </c>
      <c r="F736" t="s">
        <v>24</v>
      </c>
      <c r="G736" t="s">
        <v>29</v>
      </c>
      <c r="H736">
        <v>6</v>
      </c>
      <c r="I736">
        <v>723.54</v>
      </c>
      <c r="J736">
        <v>454.55</v>
      </c>
      <c r="K736">
        <f t="shared" si="66"/>
        <v>4341.24</v>
      </c>
      <c r="L736">
        <v>0</v>
      </c>
      <c r="M736">
        <f t="shared" si="67"/>
        <v>0</v>
      </c>
      <c r="N736">
        <f t="shared" si="68"/>
        <v>4341.24</v>
      </c>
      <c r="O736">
        <f t="shared" si="69"/>
        <v>2727.3</v>
      </c>
      <c r="P736">
        <f t="shared" si="70"/>
        <v>1613.9399999999996</v>
      </c>
      <c r="Q736">
        <f t="shared" si="71"/>
        <v>37.176935622080322</v>
      </c>
      <c r="R736" t="s">
        <v>51</v>
      </c>
      <c r="S736" t="s">
        <v>41</v>
      </c>
      <c r="T736">
        <v>3.9</v>
      </c>
    </row>
    <row r="737" spans="1:20">
      <c r="A737" t="s">
        <v>805</v>
      </c>
      <c r="B737" s="3">
        <v>45827</v>
      </c>
      <c r="C737" t="s">
        <v>21</v>
      </c>
      <c r="D737" t="s">
        <v>30</v>
      </c>
      <c r="E737" t="s">
        <v>68</v>
      </c>
      <c r="F737" t="s">
        <v>24</v>
      </c>
      <c r="G737" t="s">
        <v>29</v>
      </c>
      <c r="H737">
        <v>24</v>
      </c>
      <c r="I737">
        <v>566.32000000000005</v>
      </c>
      <c r="J737">
        <v>297.07</v>
      </c>
      <c r="K737">
        <f t="shared" si="66"/>
        <v>13591.68</v>
      </c>
      <c r="L737">
        <v>0.2</v>
      </c>
      <c r="M737">
        <f t="shared" si="67"/>
        <v>2718.3360000000002</v>
      </c>
      <c r="N737">
        <f t="shared" si="68"/>
        <v>10873.344000000001</v>
      </c>
      <c r="O737">
        <f t="shared" si="69"/>
        <v>7129.68</v>
      </c>
      <c r="P737">
        <f t="shared" si="70"/>
        <v>3743.6640000000007</v>
      </c>
      <c r="Q737">
        <f t="shared" si="71"/>
        <v>34.429739369967507</v>
      </c>
      <c r="R737" t="s">
        <v>50</v>
      </c>
      <c r="S737" t="s">
        <v>43</v>
      </c>
      <c r="T737">
        <v>4.9000000000000004</v>
      </c>
    </row>
    <row r="738" spans="1:20">
      <c r="A738" t="s">
        <v>806</v>
      </c>
      <c r="B738" s="3">
        <v>45827</v>
      </c>
      <c r="C738" t="s">
        <v>21</v>
      </c>
      <c r="D738" t="s">
        <v>30</v>
      </c>
      <c r="E738" t="s">
        <v>68</v>
      </c>
      <c r="F738" t="s">
        <v>20</v>
      </c>
      <c r="G738" t="s">
        <v>31</v>
      </c>
      <c r="H738">
        <v>44</v>
      </c>
      <c r="I738">
        <v>1157.67</v>
      </c>
      <c r="J738">
        <v>581.02</v>
      </c>
      <c r="K738">
        <f t="shared" si="66"/>
        <v>50937.48</v>
      </c>
      <c r="L738">
        <v>0.05</v>
      </c>
      <c r="M738">
        <f t="shared" si="67"/>
        <v>2546.8740000000003</v>
      </c>
      <c r="N738">
        <f t="shared" si="68"/>
        <v>48390.606</v>
      </c>
      <c r="O738">
        <f t="shared" si="69"/>
        <v>25564.879999999997</v>
      </c>
      <c r="P738">
        <f t="shared" si="70"/>
        <v>22825.726000000002</v>
      </c>
      <c r="Q738">
        <f t="shared" si="71"/>
        <v>47.169746127998486</v>
      </c>
      <c r="R738" t="s">
        <v>51</v>
      </c>
      <c r="S738" t="s">
        <v>43</v>
      </c>
      <c r="T738">
        <v>4.5999999999999996</v>
      </c>
    </row>
    <row r="739" spans="1:20">
      <c r="A739" t="s">
        <v>807</v>
      </c>
      <c r="B739" s="3">
        <v>45827</v>
      </c>
      <c r="C739" t="s">
        <v>21</v>
      </c>
      <c r="D739" t="s">
        <v>28</v>
      </c>
      <c r="E739" t="s">
        <v>68</v>
      </c>
      <c r="F739" t="s">
        <v>20</v>
      </c>
      <c r="G739" t="s">
        <v>36</v>
      </c>
      <c r="H739">
        <v>41</v>
      </c>
      <c r="I739">
        <v>1185.17</v>
      </c>
      <c r="J739">
        <v>469.15</v>
      </c>
      <c r="K739">
        <f t="shared" si="66"/>
        <v>48591.97</v>
      </c>
      <c r="L739">
        <v>0</v>
      </c>
      <c r="M739">
        <f t="shared" si="67"/>
        <v>0</v>
      </c>
      <c r="N739">
        <f t="shared" si="68"/>
        <v>48591.97</v>
      </c>
      <c r="O739">
        <f t="shared" si="69"/>
        <v>19235.149999999998</v>
      </c>
      <c r="P739">
        <f t="shared" si="70"/>
        <v>29356.820000000003</v>
      </c>
      <c r="Q739">
        <f t="shared" si="71"/>
        <v>60.414961566695084</v>
      </c>
      <c r="R739" t="s">
        <v>50</v>
      </c>
      <c r="S739" t="s">
        <v>45</v>
      </c>
      <c r="T739">
        <v>3.5</v>
      </c>
    </row>
    <row r="740" spans="1:20">
      <c r="A740" t="s">
        <v>808</v>
      </c>
      <c r="B740" s="3">
        <v>45829</v>
      </c>
      <c r="C740" t="s">
        <v>21</v>
      </c>
      <c r="D740" t="s">
        <v>32</v>
      </c>
      <c r="E740" t="s">
        <v>68</v>
      </c>
      <c r="F740" t="s">
        <v>24</v>
      </c>
      <c r="G740" t="s">
        <v>40</v>
      </c>
      <c r="H740">
        <v>12</v>
      </c>
      <c r="I740">
        <v>680.46</v>
      </c>
      <c r="J740">
        <v>416.56</v>
      </c>
      <c r="K740">
        <f t="shared" si="66"/>
        <v>8165.52</v>
      </c>
      <c r="L740">
        <v>0</v>
      </c>
      <c r="M740">
        <f t="shared" si="67"/>
        <v>0</v>
      </c>
      <c r="N740">
        <f t="shared" si="68"/>
        <v>8165.52</v>
      </c>
      <c r="O740">
        <f t="shared" si="69"/>
        <v>4998.72</v>
      </c>
      <c r="P740">
        <f t="shared" si="70"/>
        <v>3166.8</v>
      </c>
      <c r="Q740">
        <f t="shared" si="71"/>
        <v>38.782588249125595</v>
      </c>
      <c r="R740" t="s">
        <v>51</v>
      </c>
      <c r="S740" t="s">
        <v>45</v>
      </c>
      <c r="T740">
        <v>3.6</v>
      </c>
    </row>
    <row r="741" spans="1:20">
      <c r="A741" t="s">
        <v>809</v>
      </c>
      <c r="B741" s="3">
        <v>45829</v>
      </c>
      <c r="C741" t="s">
        <v>21</v>
      </c>
      <c r="D741" t="s">
        <v>26</v>
      </c>
      <c r="E741" t="s">
        <v>70</v>
      </c>
      <c r="F741" t="s">
        <v>22</v>
      </c>
      <c r="G741" t="s">
        <v>33</v>
      </c>
      <c r="H741">
        <v>18</v>
      </c>
      <c r="I741">
        <v>109.8</v>
      </c>
      <c r="J741">
        <v>79.56</v>
      </c>
      <c r="K741">
        <f t="shared" si="66"/>
        <v>1976.3999999999999</v>
      </c>
      <c r="L741">
        <v>0.05</v>
      </c>
      <c r="M741">
        <f t="shared" si="67"/>
        <v>98.82</v>
      </c>
      <c r="N741">
        <f t="shared" si="68"/>
        <v>1877.58</v>
      </c>
      <c r="O741">
        <f t="shared" si="69"/>
        <v>1432.08</v>
      </c>
      <c r="P741">
        <f t="shared" si="70"/>
        <v>445.5</v>
      </c>
      <c r="Q741">
        <f t="shared" si="71"/>
        <v>23.727351164797238</v>
      </c>
      <c r="R741" t="s">
        <v>49</v>
      </c>
      <c r="S741" t="s">
        <v>43</v>
      </c>
      <c r="T741">
        <v>4.4000000000000004</v>
      </c>
    </row>
    <row r="742" spans="1:20">
      <c r="A742" t="s">
        <v>810</v>
      </c>
      <c r="B742" s="3">
        <v>45829</v>
      </c>
      <c r="C742" t="s">
        <v>21</v>
      </c>
      <c r="D742" t="s">
        <v>28</v>
      </c>
      <c r="E742" t="s">
        <v>70</v>
      </c>
      <c r="F742" t="s">
        <v>22</v>
      </c>
      <c r="G742" t="s">
        <v>35</v>
      </c>
      <c r="H742">
        <v>18</v>
      </c>
      <c r="I742">
        <v>1027.05</v>
      </c>
      <c r="J742">
        <v>726.6</v>
      </c>
      <c r="K742">
        <f t="shared" si="66"/>
        <v>18486.899999999998</v>
      </c>
      <c r="L742">
        <v>0.15</v>
      </c>
      <c r="M742">
        <f t="shared" si="67"/>
        <v>2773.0349999999994</v>
      </c>
      <c r="N742">
        <f t="shared" si="68"/>
        <v>15713.864999999998</v>
      </c>
      <c r="O742">
        <f t="shared" si="69"/>
        <v>13078.800000000001</v>
      </c>
      <c r="P742">
        <f t="shared" si="70"/>
        <v>2635.0649999999969</v>
      </c>
      <c r="Q742">
        <f t="shared" si="71"/>
        <v>16.769044407597985</v>
      </c>
      <c r="R742" t="s">
        <v>49</v>
      </c>
      <c r="S742" t="s">
        <v>47</v>
      </c>
      <c r="T742">
        <v>4.3</v>
      </c>
    </row>
    <row r="743" spans="1:20">
      <c r="A743" t="s">
        <v>811</v>
      </c>
      <c r="B743" s="3">
        <v>45830</v>
      </c>
      <c r="C743" t="s">
        <v>21</v>
      </c>
      <c r="D743" t="s">
        <v>28</v>
      </c>
      <c r="E743" t="s">
        <v>68</v>
      </c>
      <c r="F743" t="s">
        <v>22</v>
      </c>
      <c r="G743" t="s">
        <v>35</v>
      </c>
      <c r="H743">
        <v>33</v>
      </c>
      <c r="I743">
        <v>618.53</v>
      </c>
      <c r="J743">
        <v>457.54</v>
      </c>
      <c r="K743">
        <f t="shared" si="66"/>
        <v>20411.489999999998</v>
      </c>
      <c r="L743">
        <v>0.1</v>
      </c>
      <c r="M743">
        <f t="shared" si="67"/>
        <v>2041.1489999999999</v>
      </c>
      <c r="N743">
        <f t="shared" si="68"/>
        <v>18370.340999999997</v>
      </c>
      <c r="O743">
        <f t="shared" si="69"/>
        <v>15098.820000000002</v>
      </c>
      <c r="P743">
        <f t="shared" si="70"/>
        <v>3271.5209999999952</v>
      </c>
      <c r="Q743">
        <f t="shared" si="71"/>
        <v>17.808711335298543</v>
      </c>
      <c r="R743" t="s">
        <v>49</v>
      </c>
      <c r="S743" t="s">
        <v>45</v>
      </c>
      <c r="T743">
        <v>4</v>
      </c>
    </row>
    <row r="744" spans="1:20">
      <c r="A744" t="s">
        <v>812</v>
      </c>
      <c r="B744" s="3">
        <v>45831</v>
      </c>
      <c r="C744" t="s">
        <v>21</v>
      </c>
      <c r="D744" t="s">
        <v>30</v>
      </c>
      <c r="E744" t="s">
        <v>68</v>
      </c>
      <c r="F744" t="s">
        <v>23</v>
      </c>
      <c r="G744" t="s">
        <v>38</v>
      </c>
      <c r="H744">
        <v>38</v>
      </c>
      <c r="I744">
        <v>1351.67</v>
      </c>
      <c r="J744">
        <v>997.34</v>
      </c>
      <c r="K744">
        <f t="shared" si="66"/>
        <v>51363.460000000006</v>
      </c>
      <c r="L744">
        <v>0.15</v>
      </c>
      <c r="M744">
        <f t="shared" si="67"/>
        <v>7704.5190000000002</v>
      </c>
      <c r="N744">
        <f t="shared" si="68"/>
        <v>43658.941000000006</v>
      </c>
      <c r="O744">
        <f t="shared" si="69"/>
        <v>37898.92</v>
      </c>
      <c r="P744">
        <f t="shared" si="70"/>
        <v>5760.0210000000079</v>
      </c>
      <c r="Q744">
        <f t="shared" si="71"/>
        <v>13.193221979433737</v>
      </c>
      <c r="R744" t="s">
        <v>49</v>
      </c>
      <c r="S744" t="s">
        <v>45</v>
      </c>
      <c r="T744">
        <v>4.8</v>
      </c>
    </row>
    <row r="745" spans="1:20">
      <c r="A745" t="s">
        <v>813</v>
      </c>
      <c r="B745" s="3">
        <v>45831</v>
      </c>
      <c r="C745" t="s">
        <v>21</v>
      </c>
      <c r="D745" t="s">
        <v>28</v>
      </c>
      <c r="E745" t="s">
        <v>86</v>
      </c>
      <c r="F745" t="s">
        <v>23</v>
      </c>
      <c r="G745" t="s">
        <v>38</v>
      </c>
      <c r="H745">
        <v>45</v>
      </c>
      <c r="I745">
        <v>1255.32</v>
      </c>
      <c r="J745">
        <v>972.36</v>
      </c>
      <c r="K745">
        <f t="shared" si="66"/>
        <v>56489.399999999994</v>
      </c>
      <c r="L745">
        <v>0</v>
      </c>
      <c r="M745">
        <f t="shared" si="67"/>
        <v>0</v>
      </c>
      <c r="N745">
        <f t="shared" si="68"/>
        <v>56489.399999999994</v>
      </c>
      <c r="O745">
        <f t="shared" si="69"/>
        <v>43756.2</v>
      </c>
      <c r="P745">
        <f t="shared" si="70"/>
        <v>12733.199999999997</v>
      </c>
      <c r="Q745">
        <f t="shared" si="71"/>
        <v>22.5408660739891</v>
      </c>
      <c r="R745" t="s">
        <v>49</v>
      </c>
      <c r="S745" t="s">
        <v>41</v>
      </c>
      <c r="T745">
        <v>3.1</v>
      </c>
    </row>
    <row r="746" spans="1:20">
      <c r="A746" t="s">
        <v>814</v>
      </c>
      <c r="B746" s="3">
        <v>45831</v>
      </c>
      <c r="C746" t="s">
        <v>21</v>
      </c>
      <c r="D746" t="s">
        <v>28</v>
      </c>
      <c r="E746" t="s">
        <v>68</v>
      </c>
      <c r="F746" t="s">
        <v>24</v>
      </c>
      <c r="G746" t="s">
        <v>29</v>
      </c>
      <c r="H746">
        <v>2</v>
      </c>
      <c r="I746">
        <v>174.59</v>
      </c>
      <c r="J746">
        <v>114.1</v>
      </c>
      <c r="K746">
        <f t="shared" si="66"/>
        <v>349.18</v>
      </c>
      <c r="L746">
        <v>0.05</v>
      </c>
      <c r="M746">
        <f t="shared" si="67"/>
        <v>17.459</v>
      </c>
      <c r="N746">
        <f t="shared" si="68"/>
        <v>331.721</v>
      </c>
      <c r="O746">
        <f t="shared" si="69"/>
        <v>228.2</v>
      </c>
      <c r="P746">
        <f t="shared" si="70"/>
        <v>103.52100000000002</v>
      </c>
      <c r="Q746">
        <f t="shared" si="71"/>
        <v>31.207249465665427</v>
      </c>
      <c r="R746" t="s">
        <v>50</v>
      </c>
      <c r="S746" t="s">
        <v>41</v>
      </c>
      <c r="T746">
        <v>3.1</v>
      </c>
    </row>
    <row r="747" spans="1:20">
      <c r="A747" t="s">
        <v>815</v>
      </c>
      <c r="B747" s="3">
        <v>45832</v>
      </c>
      <c r="C747" t="s">
        <v>21</v>
      </c>
      <c r="D747" t="s">
        <v>32</v>
      </c>
      <c r="E747" t="s">
        <v>68</v>
      </c>
      <c r="F747" t="s">
        <v>23</v>
      </c>
      <c r="G747" t="s">
        <v>38</v>
      </c>
      <c r="H747">
        <v>36</v>
      </c>
      <c r="I747">
        <v>873.85</v>
      </c>
      <c r="J747">
        <v>624.86</v>
      </c>
      <c r="K747">
        <f t="shared" si="66"/>
        <v>31458.600000000002</v>
      </c>
      <c r="L747">
        <v>0.05</v>
      </c>
      <c r="M747">
        <f t="shared" si="67"/>
        <v>1572.9300000000003</v>
      </c>
      <c r="N747">
        <f t="shared" si="68"/>
        <v>29885.670000000002</v>
      </c>
      <c r="O747">
        <f t="shared" si="69"/>
        <v>22494.959999999999</v>
      </c>
      <c r="P747">
        <f t="shared" si="70"/>
        <v>7390.7100000000028</v>
      </c>
      <c r="Q747">
        <f t="shared" si="71"/>
        <v>24.729945823533495</v>
      </c>
      <c r="R747" t="s">
        <v>50</v>
      </c>
      <c r="S747" t="s">
        <v>41</v>
      </c>
      <c r="T747">
        <v>4.9000000000000004</v>
      </c>
    </row>
    <row r="748" spans="1:20">
      <c r="A748" t="s">
        <v>816</v>
      </c>
      <c r="B748" s="3">
        <v>45834</v>
      </c>
      <c r="C748" t="s">
        <v>21</v>
      </c>
      <c r="D748" t="s">
        <v>26</v>
      </c>
      <c r="E748" t="s">
        <v>68</v>
      </c>
      <c r="F748" t="s">
        <v>22</v>
      </c>
      <c r="G748" t="s">
        <v>42</v>
      </c>
      <c r="H748">
        <v>46</v>
      </c>
      <c r="I748">
        <v>268.33</v>
      </c>
      <c r="J748">
        <v>194.06</v>
      </c>
      <c r="K748">
        <f t="shared" si="66"/>
        <v>12343.179999999998</v>
      </c>
      <c r="L748">
        <v>0</v>
      </c>
      <c r="M748">
        <f t="shared" si="67"/>
        <v>0</v>
      </c>
      <c r="N748">
        <f t="shared" si="68"/>
        <v>12343.179999999998</v>
      </c>
      <c r="O748">
        <f t="shared" si="69"/>
        <v>8926.76</v>
      </c>
      <c r="P748">
        <f t="shared" si="70"/>
        <v>3416.4199999999983</v>
      </c>
      <c r="Q748">
        <f t="shared" si="71"/>
        <v>27.678604703164005</v>
      </c>
      <c r="R748" t="s">
        <v>50</v>
      </c>
      <c r="S748" t="s">
        <v>43</v>
      </c>
      <c r="T748">
        <v>4.9000000000000004</v>
      </c>
    </row>
    <row r="749" spans="1:20">
      <c r="A749" t="s">
        <v>817</v>
      </c>
      <c r="B749" s="3">
        <v>45835</v>
      </c>
      <c r="C749" t="s">
        <v>21</v>
      </c>
      <c r="D749" t="s">
        <v>26</v>
      </c>
      <c r="E749" t="s">
        <v>68</v>
      </c>
      <c r="F749" t="s">
        <v>23</v>
      </c>
      <c r="G749" t="s">
        <v>37</v>
      </c>
      <c r="H749">
        <v>43</v>
      </c>
      <c r="I749">
        <v>172.97</v>
      </c>
      <c r="J749">
        <v>132.91999999999999</v>
      </c>
      <c r="K749">
        <f t="shared" si="66"/>
        <v>7437.71</v>
      </c>
      <c r="L749">
        <v>0</v>
      </c>
      <c r="M749">
        <f t="shared" si="67"/>
        <v>0</v>
      </c>
      <c r="N749">
        <f t="shared" si="68"/>
        <v>7437.71</v>
      </c>
      <c r="O749">
        <f t="shared" si="69"/>
        <v>5715.5599999999995</v>
      </c>
      <c r="P749">
        <f t="shared" si="70"/>
        <v>1722.1500000000005</v>
      </c>
      <c r="Q749">
        <f t="shared" si="71"/>
        <v>23.154304214603698</v>
      </c>
      <c r="R749" t="s">
        <v>49</v>
      </c>
      <c r="S749" t="s">
        <v>41</v>
      </c>
      <c r="T749">
        <v>3.8</v>
      </c>
    </row>
    <row r="750" spans="1:20">
      <c r="A750" t="s">
        <v>818</v>
      </c>
      <c r="B750" s="3">
        <v>45836</v>
      </c>
      <c r="C750" t="s">
        <v>21</v>
      </c>
      <c r="D750" t="s">
        <v>30</v>
      </c>
      <c r="E750" t="s">
        <v>68</v>
      </c>
      <c r="F750" t="s">
        <v>20</v>
      </c>
      <c r="G750" t="s">
        <v>31</v>
      </c>
      <c r="H750">
        <v>46</v>
      </c>
      <c r="I750">
        <v>85.41</v>
      </c>
      <c r="J750">
        <v>31.89</v>
      </c>
      <c r="K750">
        <f t="shared" si="66"/>
        <v>3928.8599999999997</v>
      </c>
      <c r="L750">
        <v>0.15</v>
      </c>
      <c r="M750">
        <f t="shared" si="67"/>
        <v>589.32899999999995</v>
      </c>
      <c r="N750">
        <f t="shared" si="68"/>
        <v>3339.5309999999999</v>
      </c>
      <c r="O750">
        <f t="shared" si="69"/>
        <v>1466.94</v>
      </c>
      <c r="P750">
        <f t="shared" si="70"/>
        <v>1872.5909999999999</v>
      </c>
      <c r="Q750">
        <f t="shared" si="71"/>
        <v>56.073472592408933</v>
      </c>
      <c r="R750" t="s">
        <v>50</v>
      </c>
      <c r="S750" t="s">
        <v>41</v>
      </c>
      <c r="T750">
        <v>4.7</v>
      </c>
    </row>
    <row r="751" spans="1:20">
      <c r="A751" t="s">
        <v>819</v>
      </c>
      <c r="B751" s="3">
        <v>45836</v>
      </c>
      <c r="C751" t="s">
        <v>21</v>
      </c>
      <c r="D751" t="s">
        <v>28</v>
      </c>
      <c r="E751" t="s">
        <v>70</v>
      </c>
      <c r="F751" t="s">
        <v>20</v>
      </c>
      <c r="G751" t="s">
        <v>34</v>
      </c>
      <c r="H751">
        <v>2</v>
      </c>
      <c r="I751">
        <v>811.99</v>
      </c>
      <c r="J751">
        <v>360.48</v>
      </c>
      <c r="K751">
        <f t="shared" si="66"/>
        <v>1623.98</v>
      </c>
      <c r="L751">
        <v>0</v>
      </c>
      <c r="M751">
        <f t="shared" si="67"/>
        <v>0</v>
      </c>
      <c r="N751">
        <f t="shared" si="68"/>
        <v>1623.98</v>
      </c>
      <c r="O751">
        <f t="shared" si="69"/>
        <v>720.96</v>
      </c>
      <c r="P751">
        <f t="shared" si="70"/>
        <v>903.02</v>
      </c>
      <c r="Q751">
        <f t="shared" si="71"/>
        <v>55.605364598086183</v>
      </c>
      <c r="R751" t="s">
        <v>50</v>
      </c>
      <c r="S751" t="s">
        <v>47</v>
      </c>
      <c r="T751">
        <v>4.9000000000000004</v>
      </c>
    </row>
    <row r="752" spans="1:20">
      <c r="A752" t="s">
        <v>820</v>
      </c>
      <c r="B752" s="3">
        <v>45837</v>
      </c>
      <c r="C752" t="s">
        <v>21</v>
      </c>
      <c r="D752" t="s">
        <v>28</v>
      </c>
      <c r="E752" t="s">
        <v>68</v>
      </c>
      <c r="F752" t="s">
        <v>24</v>
      </c>
      <c r="G752" t="s">
        <v>29</v>
      </c>
      <c r="H752">
        <v>36</v>
      </c>
      <c r="I752">
        <v>1367.84</v>
      </c>
      <c r="J752">
        <v>925.51</v>
      </c>
      <c r="K752">
        <f t="shared" si="66"/>
        <v>49242.239999999998</v>
      </c>
      <c r="L752">
        <v>0.05</v>
      </c>
      <c r="M752">
        <f t="shared" si="67"/>
        <v>2462.1120000000001</v>
      </c>
      <c r="N752">
        <f t="shared" si="68"/>
        <v>46780.127999999997</v>
      </c>
      <c r="O752">
        <f t="shared" si="69"/>
        <v>33318.36</v>
      </c>
      <c r="P752">
        <f t="shared" si="70"/>
        <v>13461.767999999996</v>
      </c>
      <c r="Q752">
        <f t="shared" si="71"/>
        <v>28.776680559745365</v>
      </c>
      <c r="R752" t="s">
        <v>49</v>
      </c>
      <c r="S752" t="s">
        <v>47</v>
      </c>
      <c r="T752">
        <v>3.2</v>
      </c>
    </row>
    <row r="753" spans="1:20">
      <c r="A753" t="s">
        <v>821</v>
      </c>
      <c r="B753" s="3">
        <v>45837</v>
      </c>
      <c r="C753" t="s">
        <v>21</v>
      </c>
      <c r="D753" t="s">
        <v>26</v>
      </c>
      <c r="E753" t="s">
        <v>68</v>
      </c>
      <c r="F753" t="s">
        <v>23</v>
      </c>
      <c r="G753" t="s">
        <v>37</v>
      </c>
      <c r="H753">
        <v>13</v>
      </c>
      <c r="I753">
        <v>762.36</v>
      </c>
      <c r="J753">
        <v>540.53</v>
      </c>
      <c r="K753">
        <f t="shared" si="66"/>
        <v>9910.68</v>
      </c>
      <c r="L753">
        <v>0</v>
      </c>
      <c r="M753">
        <f t="shared" si="67"/>
        <v>0</v>
      </c>
      <c r="N753">
        <f t="shared" si="68"/>
        <v>9910.68</v>
      </c>
      <c r="O753">
        <f t="shared" si="69"/>
        <v>7026.8899999999994</v>
      </c>
      <c r="P753">
        <f t="shared" si="70"/>
        <v>2883.7900000000009</v>
      </c>
      <c r="Q753">
        <f t="shared" si="71"/>
        <v>29.097801563565778</v>
      </c>
      <c r="R753" t="s">
        <v>50</v>
      </c>
      <c r="S753" t="s">
        <v>47</v>
      </c>
      <c r="T753">
        <v>4.4000000000000004</v>
      </c>
    </row>
    <row r="754" spans="1:20">
      <c r="A754" t="s">
        <v>822</v>
      </c>
      <c r="B754" s="3">
        <v>45838</v>
      </c>
      <c r="C754" t="s">
        <v>21</v>
      </c>
      <c r="D754" t="s">
        <v>32</v>
      </c>
      <c r="E754" t="s">
        <v>70</v>
      </c>
      <c r="F754" t="s">
        <v>23</v>
      </c>
      <c r="G754" t="s">
        <v>37</v>
      </c>
      <c r="H754">
        <v>6</v>
      </c>
      <c r="I754">
        <v>1010.11</v>
      </c>
      <c r="J754">
        <v>763.49</v>
      </c>
      <c r="K754">
        <f t="shared" si="66"/>
        <v>6060.66</v>
      </c>
      <c r="L754">
        <v>0</v>
      </c>
      <c r="M754">
        <f t="shared" si="67"/>
        <v>0</v>
      </c>
      <c r="N754">
        <f t="shared" si="68"/>
        <v>6060.66</v>
      </c>
      <c r="O754">
        <f t="shared" si="69"/>
        <v>4580.9400000000005</v>
      </c>
      <c r="P754">
        <f t="shared" si="70"/>
        <v>1479.7199999999993</v>
      </c>
      <c r="Q754">
        <f t="shared" si="71"/>
        <v>24.415162705051916</v>
      </c>
      <c r="R754" t="s">
        <v>49</v>
      </c>
      <c r="S754" t="s">
        <v>41</v>
      </c>
      <c r="T754">
        <v>4.9000000000000004</v>
      </c>
    </row>
    <row r="755" spans="1:20">
      <c r="A755" t="s">
        <v>823</v>
      </c>
      <c r="B755" s="3">
        <v>45838</v>
      </c>
      <c r="C755" t="s">
        <v>21</v>
      </c>
      <c r="D755" t="s">
        <v>28</v>
      </c>
      <c r="E755" t="s">
        <v>68</v>
      </c>
      <c r="F755" t="s">
        <v>23</v>
      </c>
      <c r="G755" t="s">
        <v>38</v>
      </c>
      <c r="H755">
        <v>11</v>
      </c>
      <c r="I755">
        <v>1416.34</v>
      </c>
      <c r="J755">
        <v>1132.74</v>
      </c>
      <c r="K755">
        <f t="shared" si="66"/>
        <v>15579.74</v>
      </c>
      <c r="L755">
        <v>0</v>
      </c>
      <c r="M755">
        <f t="shared" si="67"/>
        <v>0</v>
      </c>
      <c r="N755">
        <f t="shared" si="68"/>
        <v>15579.74</v>
      </c>
      <c r="O755">
        <f t="shared" si="69"/>
        <v>12460.14</v>
      </c>
      <c r="P755">
        <f t="shared" si="70"/>
        <v>3119.6000000000004</v>
      </c>
      <c r="Q755">
        <f t="shared" si="71"/>
        <v>20.023440699267127</v>
      </c>
      <c r="R755" t="s">
        <v>49</v>
      </c>
      <c r="S755" t="s">
        <v>43</v>
      </c>
      <c r="T755">
        <v>4.4000000000000004</v>
      </c>
    </row>
    <row r="756" spans="1:20">
      <c r="A756" t="s">
        <v>824</v>
      </c>
      <c r="B756" s="3">
        <v>45839</v>
      </c>
      <c r="C756" t="s">
        <v>21</v>
      </c>
      <c r="D756" t="s">
        <v>26</v>
      </c>
      <c r="E756" t="s">
        <v>86</v>
      </c>
      <c r="F756" t="s">
        <v>22</v>
      </c>
      <c r="G756" t="s">
        <v>35</v>
      </c>
      <c r="H756">
        <v>40</v>
      </c>
      <c r="I756">
        <v>394.75</v>
      </c>
      <c r="J756">
        <v>304.8</v>
      </c>
      <c r="K756">
        <f t="shared" si="66"/>
        <v>15790</v>
      </c>
      <c r="L756">
        <v>0.25</v>
      </c>
      <c r="M756">
        <f t="shared" si="67"/>
        <v>3947.5</v>
      </c>
      <c r="N756">
        <f t="shared" si="68"/>
        <v>11842.5</v>
      </c>
      <c r="O756">
        <f t="shared" si="69"/>
        <v>12192</v>
      </c>
      <c r="P756">
        <f t="shared" si="70"/>
        <v>-349.5</v>
      </c>
      <c r="Q756">
        <f t="shared" si="71"/>
        <v>-2.9512349588347053</v>
      </c>
      <c r="R756" t="s">
        <v>51</v>
      </c>
      <c r="S756" t="s">
        <v>41</v>
      </c>
      <c r="T756">
        <v>3.8</v>
      </c>
    </row>
    <row r="757" spans="1:20">
      <c r="A757" t="s">
        <v>825</v>
      </c>
      <c r="B757" s="3">
        <v>45840</v>
      </c>
      <c r="C757" t="s">
        <v>21</v>
      </c>
      <c r="D757" t="s">
        <v>26</v>
      </c>
      <c r="E757" t="s">
        <v>86</v>
      </c>
      <c r="F757" t="s">
        <v>23</v>
      </c>
      <c r="G757" t="s">
        <v>37</v>
      </c>
      <c r="H757">
        <v>38</v>
      </c>
      <c r="I757">
        <v>1160.21</v>
      </c>
      <c r="J757">
        <v>847.99</v>
      </c>
      <c r="K757">
        <f t="shared" si="66"/>
        <v>44087.98</v>
      </c>
      <c r="L757">
        <v>0.15</v>
      </c>
      <c r="M757">
        <f t="shared" si="67"/>
        <v>6613.1970000000001</v>
      </c>
      <c r="N757">
        <f t="shared" si="68"/>
        <v>37474.783000000003</v>
      </c>
      <c r="O757">
        <f t="shared" si="69"/>
        <v>32223.62</v>
      </c>
      <c r="P757">
        <f t="shared" si="70"/>
        <v>5251.1630000000041</v>
      </c>
      <c r="Q757">
        <f t="shared" si="71"/>
        <v>14.012524101874064</v>
      </c>
      <c r="R757" t="s">
        <v>49</v>
      </c>
      <c r="S757" t="s">
        <v>41</v>
      </c>
      <c r="T757">
        <v>3.6</v>
      </c>
    </row>
    <row r="758" spans="1:20">
      <c r="A758" t="s">
        <v>826</v>
      </c>
      <c r="B758" s="3">
        <v>45840</v>
      </c>
      <c r="C758" t="s">
        <v>21</v>
      </c>
      <c r="D758" t="s">
        <v>26</v>
      </c>
      <c r="E758" t="s">
        <v>68</v>
      </c>
      <c r="F758" t="s">
        <v>23</v>
      </c>
      <c r="G758" t="s">
        <v>38</v>
      </c>
      <c r="H758">
        <v>24</v>
      </c>
      <c r="I758">
        <v>31.65</v>
      </c>
      <c r="J758">
        <v>23.96</v>
      </c>
      <c r="K758">
        <f t="shared" si="66"/>
        <v>759.59999999999991</v>
      </c>
      <c r="L758">
        <v>0.25</v>
      </c>
      <c r="M758">
        <f t="shared" si="67"/>
        <v>189.89999999999998</v>
      </c>
      <c r="N758">
        <f t="shared" si="68"/>
        <v>569.69999999999993</v>
      </c>
      <c r="O758">
        <f t="shared" si="69"/>
        <v>575.04</v>
      </c>
      <c r="P758">
        <f t="shared" si="70"/>
        <v>-5.3400000000000318</v>
      </c>
      <c r="Q758">
        <f t="shared" si="71"/>
        <v>-0.93733543970511368</v>
      </c>
      <c r="R758" t="s">
        <v>49</v>
      </c>
      <c r="S758" t="s">
        <v>41</v>
      </c>
      <c r="T758">
        <v>3.8</v>
      </c>
    </row>
    <row r="759" spans="1:20">
      <c r="A759" t="s">
        <v>827</v>
      </c>
      <c r="B759" s="3">
        <v>45841</v>
      </c>
      <c r="C759" t="s">
        <v>21</v>
      </c>
      <c r="D759" t="s">
        <v>26</v>
      </c>
      <c r="E759" t="s">
        <v>70</v>
      </c>
      <c r="F759" t="s">
        <v>22</v>
      </c>
      <c r="G759" t="s">
        <v>35</v>
      </c>
      <c r="H759">
        <v>33</v>
      </c>
      <c r="I759">
        <v>1392.51</v>
      </c>
      <c r="J759">
        <v>965.44</v>
      </c>
      <c r="K759">
        <f t="shared" si="66"/>
        <v>45952.83</v>
      </c>
      <c r="L759">
        <v>0.05</v>
      </c>
      <c r="M759">
        <f t="shared" si="67"/>
        <v>2297.6415000000002</v>
      </c>
      <c r="N759">
        <f t="shared" si="68"/>
        <v>43655.188500000004</v>
      </c>
      <c r="O759">
        <f t="shared" si="69"/>
        <v>31859.52</v>
      </c>
      <c r="P759">
        <f t="shared" si="70"/>
        <v>11795.668500000003</v>
      </c>
      <c r="Q759">
        <f t="shared" si="71"/>
        <v>27.020083763926483</v>
      </c>
      <c r="R759" t="s">
        <v>51</v>
      </c>
      <c r="S759" t="s">
        <v>41</v>
      </c>
      <c r="T759">
        <v>4.9000000000000004</v>
      </c>
    </row>
    <row r="760" spans="1:20">
      <c r="A760" t="s">
        <v>828</v>
      </c>
      <c r="B760" s="3">
        <v>45843</v>
      </c>
      <c r="C760" t="s">
        <v>21</v>
      </c>
      <c r="D760" t="s">
        <v>32</v>
      </c>
      <c r="E760" t="s">
        <v>68</v>
      </c>
      <c r="F760" t="s">
        <v>22</v>
      </c>
      <c r="G760" t="s">
        <v>35</v>
      </c>
      <c r="H760">
        <v>43</v>
      </c>
      <c r="I760">
        <v>1046.5</v>
      </c>
      <c r="J760">
        <v>650.11</v>
      </c>
      <c r="K760">
        <f t="shared" si="66"/>
        <v>44999.5</v>
      </c>
      <c r="L760">
        <v>0</v>
      </c>
      <c r="M760">
        <f t="shared" si="67"/>
        <v>0</v>
      </c>
      <c r="N760">
        <f t="shared" si="68"/>
        <v>44999.5</v>
      </c>
      <c r="O760">
        <f t="shared" si="69"/>
        <v>27954.73</v>
      </c>
      <c r="P760">
        <f t="shared" si="70"/>
        <v>17044.77</v>
      </c>
      <c r="Q760">
        <f t="shared" si="71"/>
        <v>37.87768752986144</v>
      </c>
      <c r="R760" t="s">
        <v>50</v>
      </c>
      <c r="S760" t="s">
        <v>41</v>
      </c>
      <c r="T760">
        <v>4.5</v>
      </c>
    </row>
    <row r="761" spans="1:20">
      <c r="A761" t="s">
        <v>829</v>
      </c>
      <c r="B761" s="3">
        <v>45846</v>
      </c>
      <c r="C761" t="s">
        <v>21</v>
      </c>
      <c r="D761" t="s">
        <v>28</v>
      </c>
      <c r="E761" t="s">
        <v>86</v>
      </c>
      <c r="F761" t="s">
        <v>20</v>
      </c>
      <c r="G761" t="s">
        <v>36</v>
      </c>
      <c r="H761">
        <v>4</v>
      </c>
      <c r="I761">
        <v>232.25</v>
      </c>
      <c r="J761">
        <v>93.56</v>
      </c>
      <c r="K761">
        <f t="shared" si="66"/>
        <v>929</v>
      </c>
      <c r="L761">
        <v>0.05</v>
      </c>
      <c r="M761">
        <f t="shared" si="67"/>
        <v>46.45</v>
      </c>
      <c r="N761">
        <f t="shared" si="68"/>
        <v>882.55</v>
      </c>
      <c r="O761">
        <f t="shared" si="69"/>
        <v>374.24</v>
      </c>
      <c r="P761">
        <f t="shared" si="70"/>
        <v>508.30999999999995</v>
      </c>
      <c r="Q761">
        <f t="shared" si="71"/>
        <v>57.595603648518491</v>
      </c>
      <c r="R761" t="s">
        <v>49</v>
      </c>
      <c r="S761" t="s">
        <v>45</v>
      </c>
      <c r="T761">
        <v>3.3</v>
      </c>
    </row>
    <row r="762" spans="1:20">
      <c r="A762" t="s">
        <v>830</v>
      </c>
      <c r="B762" s="3">
        <v>45847</v>
      </c>
      <c r="C762" t="s">
        <v>21</v>
      </c>
      <c r="D762" t="s">
        <v>32</v>
      </c>
      <c r="E762" t="s">
        <v>68</v>
      </c>
      <c r="F762" t="s">
        <v>20</v>
      </c>
      <c r="G762" t="s">
        <v>31</v>
      </c>
      <c r="H762">
        <v>33</v>
      </c>
      <c r="I762">
        <v>484.74</v>
      </c>
      <c r="J762">
        <v>272.45999999999998</v>
      </c>
      <c r="K762">
        <f t="shared" si="66"/>
        <v>15996.42</v>
      </c>
      <c r="L762">
        <v>0.05</v>
      </c>
      <c r="M762">
        <f t="shared" si="67"/>
        <v>799.82100000000003</v>
      </c>
      <c r="N762">
        <f t="shared" si="68"/>
        <v>15196.599</v>
      </c>
      <c r="O762">
        <f t="shared" si="69"/>
        <v>8991.1799999999985</v>
      </c>
      <c r="P762">
        <f t="shared" si="70"/>
        <v>6205.4190000000017</v>
      </c>
      <c r="Q762">
        <f t="shared" si="71"/>
        <v>40.834261666047787</v>
      </c>
      <c r="R762" t="s">
        <v>49</v>
      </c>
      <c r="S762" t="s">
        <v>41</v>
      </c>
      <c r="T762">
        <v>4.3</v>
      </c>
    </row>
    <row r="763" spans="1:20">
      <c r="A763" t="s">
        <v>831</v>
      </c>
      <c r="B763" s="3">
        <v>45850</v>
      </c>
      <c r="C763" t="s">
        <v>21</v>
      </c>
      <c r="D763" t="s">
        <v>26</v>
      </c>
      <c r="E763" t="s">
        <v>86</v>
      </c>
      <c r="F763" t="s">
        <v>20</v>
      </c>
      <c r="G763" t="s">
        <v>31</v>
      </c>
      <c r="H763">
        <v>31</v>
      </c>
      <c r="I763">
        <v>931.67</v>
      </c>
      <c r="J763">
        <v>486.4</v>
      </c>
      <c r="K763">
        <f t="shared" si="66"/>
        <v>28881.77</v>
      </c>
      <c r="L763">
        <v>0.15</v>
      </c>
      <c r="M763">
        <f t="shared" si="67"/>
        <v>4332.2654999999995</v>
      </c>
      <c r="N763">
        <f t="shared" si="68"/>
        <v>24549.504500000003</v>
      </c>
      <c r="O763">
        <f t="shared" si="69"/>
        <v>15078.4</v>
      </c>
      <c r="P763">
        <f t="shared" si="70"/>
        <v>9471.1045000000031</v>
      </c>
      <c r="Q763">
        <f t="shared" si="71"/>
        <v>38.579615731144401</v>
      </c>
      <c r="R763" t="s">
        <v>49</v>
      </c>
      <c r="S763" t="s">
        <v>45</v>
      </c>
      <c r="T763">
        <v>3.4</v>
      </c>
    </row>
    <row r="764" spans="1:20">
      <c r="A764" t="s">
        <v>832</v>
      </c>
      <c r="B764" s="3">
        <v>45850</v>
      </c>
      <c r="C764" t="s">
        <v>21</v>
      </c>
      <c r="D764" t="s">
        <v>28</v>
      </c>
      <c r="E764" t="s">
        <v>70</v>
      </c>
      <c r="F764" t="s">
        <v>22</v>
      </c>
      <c r="G764" t="s">
        <v>33</v>
      </c>
      <c r="H764">
        <v>49</v>
      </c>
      <c r="I764">
        <v>575.95000000000005</v>
      </c>
      <c r="J764">
        <v>432.14</v>
      </c>
      <c r="K764">
        <f t="shared" si="66"/>
        <v>28221.550000000003</v>
      </c>
      <c r="L764">
        <v>0</v>
      </c>
      <c r="M764">
        <f t="shared" si="67"/>
        <v>0</v>
      </c>
      <c r="N764">
        <f t="shared" si="68"/>
        <v>28221.550000000003</v>
      </c>
      <c r="O764">
        <f t="shared" si="69"/>
        <v>21174.86</v>
      </c>
      <c r="P764">
        <f t="shared" si="70"/>
        <v>7046.6900000000023</v>
      </c>
      <c r="Q764">
        <f t="shared" si="71"/>
        <v>24.96918135254797</v>
      </c>
      <c r="R764" t="s">
        <v>50</v>
      </c>
      <c r="S764" t="s">
        <v>43</v>
      </c>
      <c r="T764">
        <v>4.3</v>
      </c>
    </row>
    <row r="765" spans="1:20">
      <c r="A765" t="s">
        <v>833</v>
      </c>
      <c r="B765" s="3">
        <v>45850</v>
      </c>
      <c r="C765" t="s">
        <v>21</v>
      </c>
      <c r="D765" t="s">
        <v>32</v>
      </c>
      <c r="E765" t="s">
        <v>68</v>
      </c>
      <c r="F765" t="s">
        <v>22</v>
      </c>
      <c r="G765" t="s">
        <v>42</v>
      </c>
      <c r="H765">
        <v>35</v>
      </c>
      <c r="I765">
        <v>1002.81</v>
      </c>
      <c r="J765">
        <v>653.04</v>
      </c>
      <c r="K765">
        <f t="shared" si="66"/>
        <v>35098.35</v>
      </c>
      <c r="L765">
        <v>0.05</v>
      </c>
      <c r="M765">
        <f t="shared" si="67"/>
        <v>1754.9175</v>
      </c>
      <c r="N765">
        <f t="shared" si="68"/>
        <v>33343.432499999995</v>
      </c>
      <c r="O765">
        <f t="shared" si="69"/>
        <v>22856.399999999998</v>
      </c>
      <c r="P765">
        <f t="shared" si="70"/>
        <v>10487.032499999998</v>
      </c>
      <c r="Q765">
        <f t="shared" si="71"/>
        <v>31.451568461045511</v>
      </c>
      <c r="R765" t="s">
        <v>49</v>
      </c>
      <c r="S765" t="s">
        <v>41</v>
      </c>
      <c r="T765">
        <v>3.1</v>
      </c>
    </row>
    <row r="766" spans="1:20">
      <c r="A766" t="s">
        <v>834</v>
      </c>
      <c r="B766" s="3">
        <v>45851</v>
      </c>
      <c r="C766" t="s">
        <v>21</v>
      </c>
      <c r="D766" t="s">
        <v>26</v>
      </c>
      <c r="E766" t="s">
        <v>68</v>
      </c>
      <c r="F766" t="s">
        <v>20</v>
      </c>
      <c r="G766" t="s">
        <v>31</v>
      </c>
      <c r="H766">
        <v>3</v>
      </c>
      <c r="I766">
        <v>400.59</v>
      </c>
      <c r="J766">
        <v>237</v>
      </c>
      <c r="K766">
        <f t="shared" si="66"/>
        <v>1201.77</v>
      </c>
      <c r="L766">
        <v>0</v>
      </c>
      <c r="M766">
        <f t="shared" si="67"/>
        <v>0</v>
      </c>
      <c r="N766">
        <f t="shared" si="68"/>
        <v>1201.77</v>
      </c>
      <c r="O766">
        <f t="shared" si="69"/>
        <v>711</v>
      </c>
      <c r="P766">
        <f t="shared" si="70"/>
        <v>490.77</v>
      </c>
      <c r="Q766">
        <f t="shared" si="71"/>
        <v>40.83726503407474</v>
      </c>
      <c r="R766" t="s">
        <v>49</v>
      </c>
      <c r="S766" t="s">
        <v>43</v>
      </c>
      <c r="T766">
        <v>3.4</v>
      </c>
    </row>
    <row r="767" spans="1:20">
      <c r="A767" t="s">
        <v>835</v>
      </c>
      <c r="B767" s="3">
        <v>45853</v>
      </c>
      <c r="C767" t="s">
        <v>21</v>
      </c>
      <c r="D767" t="s">
        <v>28</v>
      </c>
      <c r="E767" t="s">
        <v>86</v>
      </c>
      <c r="F767" t="s">
        <v>20</v>
      </c>
      <c r="G767" t="s">
        <v>34</v>
      </c>
      <c r="H767">
        <v>25</v>
      </c>
      <c r="I767">
        <v>934.33</v>
      </c>
      <c r="J767">
        <v>427.48</v>
      </c>
      <c r="K767">
        <f t="shared" si="66"/>
        <v>23358.25</v>
      </c>
      <c r="L767">
        <v>0</v>
      </c>
      <c r="M767">
        <f t="shared" si="67"/>
        <v>0</v>
      </c>
      <c r="N767">
        <f t="shared" si="68"/>
        <v>23358.25</v>
      </c>
      <c r="O767">
        <f t="shared" si="69"/>
        <v>10687</v>
      </c>
      <c r="P767">
        <f t="shared" si="70"/>
        <v>12671.25</v>
      </c>
      <c r="Q767">
        <f t="shared" si="71"/>
        <v>54.247428638703667</v>
      </c>
      <c r="R767" t="s">
        <v>51</v>
      </c>
      <c r="S767" t="s">
        <v>41</v>
      </c>
      <c r="T767">
        <v>3.8</v>
      </c>
    </row>
    <row r="768" spans="1:20">
      <c r="A768" t="s">
        <v>836</v>
      </c>
      <c r="B768" s="3">
        <v>45855</v>
      </c>
      <c r="C768" t="s">
        <v>21</v>
      </c>
      <c r="D768" t="s">
        <v>26</v>
      </c>
      <c r="E768" t="s">
        <v>86</v>
      </c>
      <c r="F768" t="s">
        <v>24</v>
      </c>
      <c r="G768" t="s">
        <v>29</v>
      </c>
      <c r="H768">
        <v>6</v>
      </c>
      <c r="I768">
        <v>256.16000000000003</v>
      </c>
      <c r="J768">
        <v>140.25</v>
      </c>
      <c r="K768">
        <f t="shared" si="66"/>
        <v>1536.96</v>
      </c>
      <c r="L768">
        <v>0.1</v>
      </c>
      <c r="M768">
        <f t="shared" si="67"/>
        <v>153.69600000000003</v>
      </c>
      <c r="N768">
        <f t="shared" si="68"/>
        <v>1383.2640000000001</v>
      </c>
      <c r="O768">
        <f t="shared" si="69"/>
        <v>841.5</v>
      </c>
      <c r="P768">
        <f t="shared" si="70"/>
        <v>541.76400000000012</v>
      </c>
      <c r="Q768">
        <f t="shared" si="71"/>
        <v>39.165625650635029</v>
      </c>
      <c r="R768" t="s">
        <v>50</v>
      </c>
      <c r="S768" t="s">
        <v>43</v>
      </c>
      <c r="T768">
        <v>3.9</v>
      </c>
    </row>
    <row r="769" spans="1:20">
      <c r="A769" t="s">
        <v>837</v>
      </c>
      <c r="B769" s="3">
        <v>45855</v>
      </c>
      <c r="C769" t="s">
        <v>21</v>
      </c>
      <c r="D769" t="s">
        <v>30</v>
      </c>
      <c r="E769" t="s">
        <v>68</v>
      </c>
      <c r="F769" t="s">
        <v>24</v>
      </c>
      <c r="G769" t="s">
        <v>46</v>
      </c>
      <c r="H769">
        <v>34</v>
      </c>
      <c r="I769">
        <v>99.16</v>
      </c>
      <c r="J769">
        <v>52.02</v>
      </c>
      <c r="K769">
        <f t="shared" si="66"/>
        <v>3371.44</v>
      </c>
      <c r="L769">
        <v>0.05</v>
      </c>
      <c r="M769">
        <f t="shared" si="67"/>
        <v>168.572</v>
      </c>
      <c r="N769">
        <f t="shared" si="68"/>
        <v>3202.8679999999999</v>
      </c>
      <c r="O769">
        <f t="shared" si="69"/>
        <v>1768.68</v>
      </c>
      <c r="P769">
        <f t="shared" si="70"/>
        <v>1434.1879999999999</v>
      </c>
      <c r="Q769">
        <f t="shared" si="71"/>
        <v>44.778242500159223</v>
      </c>
      <c r="R769" t="s">
        <v>49</v>
      </c>
      <c r="S769" t="s">
        <v>41</v>
      </c>
      <c r="T769">
        <v>3.5</v>
      </c>
    </row>
    <row r="770" spans="1:20">
      <c r="A770" t="s">
        <v>838</v>
      </c>
      <c r="B770" s="3">
        <v>45856</v>
      </c>
      <c r="C770" t="s">
        <v>21</v>
      </c>
      <c r="D770" t="s">
        <v>26</v>
      </c>
      <c r="E770" t="s">
        <v>70</v>
      </c>
      <c r="F770" t="s">
        <v>24</v>
      </c>
      <c r="G770" t="s">
        <v>29</v>
      </c>
      <c r="H770">
        <v>13</v>
      </c>
      <c r="I770">
        <v>1152.24</v>
      </c>
      <c r="J770">
        <v>727.74</v>
      </c>
      <c r="K770">
        <f t="shared" ref="K770:K833" si="72">H770*I770</f>
        <v>14979.12</v>
      </c>
      <c r="L770">
        <v>0</v>
      </c>
      <c r="M770">
        <f t="shared" ref="M770:M833" si="73">K770*L770</f>
        <v>0</v>
      </c>
      <c r="N770">
        <f t="shared" ref="N770:N833" si="74">K770-M770</f>
        <v>14979.12</v>
      </c>
      <c r="O770">
        <f t="shared" ref="O770:O833" si="75">H770*J770</f>
        <v>9460.6200000000008</v>
      </c>
      <c r="P770">
        <f t="shared" ref="P770:P833" si="76">N770-O770</f>
        <v>5518.5</v>
      </c>
      <c r="Q770">
        <f t="shared" ref="Q770:Q833" si="77">IFERROR(P770/N770*100,0)</f>
        <v>36.841283066027906</v>
      </c>
      <c r="R770" t="s">
        <v>50</v>
      </c>
      <c r="S770" t="s">
        <v>41</v>
      </c>
      <c r="T770">
        <v>4.7</v>
      </c>
    </row>
    <row r="771" spans="1:20">
      <c r="A771" t="s">
        <v>839</v>
      </c>
      <c r="B771" s="3">
        <v>45857</v>
      </c>
      <c r="C771" t="s">
        <v>21</v>
      </c>
      <c r="D771" t="s">
        <v>26</v>
      </c>
      <c r="E771" t="s">
        <v>68</v>
      </c>
      <c r="F771" t="s">
        <v>20</v>
      </c>
      <c r="G771" t="s">
        <v>36</v>
      </c>
      <c r="H771">
        <v>40</v>
      </c>
      <c r="I771">
        <v>976.86</v>
      </c>
      <c r="J771">
        <v>385.55</v>
      </c>
      <c r="K771">
        <f t="shared" si="72"/>
        <v>39074.400000000001</v>
      </c>
      <c r="L771">
        <v>0</v>
      </c>
      <c r="M771">
        <f t="shared" si="73"/>
        <v>0</v>
      </c>
      <c r="N771">
        <f t="shared" si="74"/>
        <v>39074.400000000001</v>
      </c>
      <c r="O771">
        <f t="shared" si="75"/>
        <v>15422</v>
      </c>
      <c r="P771">
        <f t="shared" si="76"/>
        <v>23652.400000000001</v>
      </c>
      <c r="Q771">
        <f t="shared" si="77"/>
        <v>60.531703621808653</v>
      </c>
      <c r="R771" t="s">
        <v>50</v>
      </c>
      <c r="S771" t="s">
        <v>41</v>
      </c>
      <c r="T771">
        <v>4.0999999999999996</v>
      </c>
    </row>
    <row r="772" spans="1:20">
      <c r="A772" t="s">
        <v>840</v>
      </c>
      <c r="B772" s="3">
        <v>45857</v>
      </c>
      <c r="C772" t="s">
        <v>21</v>
      </c>
      <c r="D772" t="s">
        <v>30</v>
      </c>
      <c r="E772" t="s">
        <v>68</v>
      </c>
      <c r="F772" t="s">
        <v>20</v>
      </c>
      <c r="G772" t="s">
        <v>34</v>
      </c>
      <c r="H772">
        <v>41</v>
      </c>
      <c r="I772">
        <v>571.54</v>
      </c>
      <c r="J772">
        <v>327.12</v>
      </c>
      <c r="K772">
        <f t="shared" si="72"/>
        <v>23433.14</v>
      </c>
      <c r="L772">
        <v>0.05</v>
      </c>
      <c r="M772">
        <f t="shared" si="73"/>
        <v>1171.6569999999999</v>
      </c>
      <c r="N772">
        <f t="shared" si="74"/>
        <v>22261.483</v>
      </c>
      <c r="O772">
        <f t="shared" si="75"/>
        <v>13411.92</v>
      </c>
      <c r="P772">
        <f t="shared" si="76"/>
        <v>8849.5630000000001</v>
      </c>
      <c r="Q772">
        <f t="shared" si="77"/>
        <v>39.752800835416039</v>
      </c>
      <c r="R772" t="s">
        <v>49</v>
      </c>
      <c r="S772" t="s">
        <v>43</v>
      </c>
      <c r="T772">
        <v>4.9000000000000004</v>
      </c>
    </row>
    <row r="773" spans="1:20">
      <c r="A773" t="s">
        <v>841</v>
      </c>
      <c r="B773" s="3">
        <v>45859</v>
      </c>
      <c r="C773" t="s">
        <v>21</v>
      </c>
      <c r="D773" t="s">
        <v>26</v>
      </c>
      <c r="E773" t="s">
        <v>68</v>
      </c>
      <c r="F773" t="s">
        <v>20</v>
      </c>
      <c r="G773" t="s">
        <v>31</v>
      </c>
      <c r="H773">
        <v>34</v>
      </c>
      <c r="I773">
        <v>794.68</v>
      </c>
      <c r="J773">
        <v>308.64</v>
      </c>
      <c r="K773">
        <f t="shared" si="72"/>
        <v>27019.119999999999</v>
      </c>
      <c r="L773">
        <v>0.15</v>
      </c>
      <c r="M773">
        <f t="shared" si="73"/>
        <v>4052.8679999999995</v>
      </c>
      <c r="N773">
        <f t="shared" si="74"/>
        <v>22966.252</v>
      </c>
      <c r="O773">
        <f t="shared" si="75"/>
        <v>10493.76</v>
      </c>
      <c r="P773">
        <f t="shared" si="76"/>
        <v>12472.492</v>
      </c>
      <c r="Q773">
        <f t="shared" si="77"/>
        <v>54.307912322829168</v>
      </c>
      <c r="R773" t="s">
        <v>49</v>
      </c>
      <c r="S773" t="s">
        <v>47</v>
      </c>
      <c r="T773">
        <v>3.4</v>
      </c>
    </row>
    <row r="774" spans="1:20">
      <c r="A774" t="s">
        <v>842</v>
      </c>
      <c r="B774" s="3">
        <v>45860</v>
      </c>
      <c r="C774" t="s">
        <v>21</v>
      </c>
      <c r="D774" t="s">
        <v>32</v>
      </c>
      <c r="E774" t="s">
        <v>68</v>
      </c>
      <c r="F774" t="s">
        <v>24</v>
      </c>
      <c r="G774" t="s">
        <v>46</v>
      </c>
      <c r="H774">
        <v>13</v>
      </c>
      <c r="I774">
        <v>80.95</v>
      </c>
      <c r="J774">
        <v>54.6</v>
      </c>
      <c r="K774">
        <f t="shared" si="72"/>
        <v>1052.3500000000001</v>
      </c>
      <c r="L774">
        <v>0.2</v>
      </c>
      <c r="M774">
        <f t="shared" si="73"/>
        <v>210.47000000000003</v>
      </c>
      <c r="N774">
        <f t="shared" si="74"/>
        <v>841.88000000000011</v>
      </c>
      <c r="O774">
        <f t="shared" si="75"/>
        <v>709.80000000000007</v>
      </c>
      <c r="P774">
        <f t="shared" si="76"/>
        <v>132.08000000000004</v>
      </c>
      <c r="Q774">
        <f t="shared" si="77"/>
        <v>15.688696726374307</v>
      </c>
      <c r="R774" t="s">
        <v>50</v>
      </c>
      <c r="S774" t="s">
        <v>41</v>
      </c>
      <c r="T774">
        <v>3.5</v>
      </c>
    </row>
    <row r="775" spans="1:20">
      <c r="A775" t="s">
        <v>843</v>
      </c>
      <c r="B775" s="3">
        <v>45861</v>
      </c>
      <c r="C775" t="s">
        <v>21</v>
      </c>
      <c r="D775" t="s">
        <v>30</v>
      </c>
      <c r="E775" t="s">
        <v>70</v>
      </c>
      <c r="F775" t="s">
        <v>20</v>
      </c>
      <c r="G775" t="s">
        <v>31</v>
      </c>
      <c r="H775">
        <v>27</v>
      </c>
      <c r="I775">
        <v>191.64</v>
      </c>
      <c r="J775">
        <v>95.95</v>
      </c>
      <c r="K775">
        <f t="shared" si="72"/>
        <v>5174.28</v>
      </c>
      <c r="L775">
        <v>0.25</v>
      </c>
      <c r="M775">
        <f t="shared" si="73"/>
        <v>1293.57</v>
      </c>
      <c r="N775">
        <f t="shared" si="74"/>
        <v>3880.71</v>
      </c>
      <c r="O775">
        <f t="shared" si="75"/>
        <v>2590.65</v>
      </c>
      <c r="P775">
        <f t="shared" si="76"/>
        <v>1290.06</v>
      </c>
      <c r="Q775">
        <f t="shared" si="77"/>
        <v>33.242885966743195</v>
      </c>
      <c r="R775" t="s">
        <v>49</v>
      </c>
      <c r="S775" t="s">
        <v>45</v>
      </c>
      <c r="T775">
        <v>3.6</v>
      </c>
    </row>
    <row r="776" spans="1:20">
      <c r="A776" t="s">
        <v>844</v>
      </c>
      <c r="B776" s="3">
        <v>45862</v>
      </c>
      <c r="C776" t="s">
        <v>21</v>
      </c>
      <c r="D776" t="s">
        <v>30</v>
      </c>
      <c r="E776" t="s">
        <v>68</v>
      </c>
      <c r="F776" t="s">
        <v>22</v>
      </c>
      <c r="G776" t="s">
        <v>42</v>
      </c>
      <c r="H776">
        <v>31</v>
      </c>
      <c r="I776">
        <v>168.67</v>
      </c>
      <c r="J776">
        <v>108.04</v>
      </c>
      <c r="K776">
        <f t="shared" si="72"/>
        <v>5228.7699999999995</v>
      </c>
      <c r="L776">
        <v>0.15</v>
      </c>
      <c r="M776">
        <f t="shared" si="73"/>
        <v>784.31549999999993</v>
      </c>
      <c r="N776">
        <f t="shared" si="74"/>
        <v>4444.4544999999998</v>
      </c>
      <c r="O776">
        <f t="shared" si="75"/>
        <v>3349.2400000000002</v>
      </c>
      <c r="P776">
        <f t="shared" si="76"/>
        <v>1095.2144999999996</v>
      </c>
      <c r="Q776">
        <f t="shared" si="77"/>
        <v>24.642270496862992</v>
      </c>
      <c r="R776" t="s">
        <v>50</v>
      </c>
      <c r="S776" t="s">
        <v>43</v>
      </c>
      <c r="T776">
        <v>3.4</v>
      </c>
    </row>
    <row r="777" spans="1:20">
      <c r="A777" t="s">
        <v>845</v>
      </c>
      <c r="B777" s="3">
        <v>45863</v>
      </c>
      <c r="C777" t="s">
        <v>21</v>
      </c>
      <c r="D777" t="s">
        <v>32</v>
      </c>
      <c r="E777" t="s">
        <v>70</v>
      </c>
      <c r="F777" t="s">
        <v>23</v>
      </c>
      <c r="G777" t="s">
        <v>44</v>
      </c>
      <c r="H777">
        <v>22</v>
      </c>
      <c r="I777">
        <v>520.58000000000004</v>
      </c>
      <c r="J777">
        <v>430.79</v>
      </c>
      <c r="K777">
        <f t="shared" si="72"/>
        <v>11452.76</v>
      </c>
      <c r="L777">
        <v>0</v>
      </c>
      <c r="M777">
        <f t="shared" si="73"/>
        <v>0</v>
      </c>
      <c r="N777">
        <f t="shared" si="74"/>
        <v>11452.76</v>
      </c>
      <c r="O777">
        <f t="shared" si="75"/>
        <v>9477.380000000001</v>
      </c>
      <c r="P777">
        <f t="shared" si="76"/>
        <v>1975.3799999999992</v>
      </c>
      <c r="Q777">
        <f t="shared" si="77"/>
        <v>17.248069460985814</v>
      </c>
      <c r="R777" t="s">
        <v>49</v>
      </c>
      <c r="S777" t="s">
        <v>47</v>
      </c>
      <c r="T777">
        <v>4.9000000000000004</v>
      </c>
    </row>
    <row r="778" spans="1:20">
      <c r="A778" t="s">
        <v>846</v>
      </c>
      <c r="B778" s="3">
        <v>45863</v>
      </c>
      <c r="C778" t="s">
        <v>21</v>
      </c>
      <c r="D778" t="s">
        <v>30</v>
      </c>
      <c r="E778" t="s">
        <v>68</v>
      </c>
      <c r="F778" t="s">
        <v>22</v>
      </c>
      <c r="G778" t="s">
        <v>42</v>
      </c>
      <c r="H778">
        <v>44</v>
      </c>
      <c r="I778">
        <v>1130.8900000000001</v>
      </c>
      <c r="J778">
        <v>852.86</v>
      </c>
      <c r="K778">
        <f t="shared" si="72"/>
        <v>49759.16</v>
      </c>
      <c r="L778">
        <v>0.1</v>
      </c>
      <c r="M778">
        <f t="shared" si="73"/>
        <v>4975.9160000000011</v>
      </c>
      <c r="N778">
        <f t="shared" si="74"/>
        <v>44783.244000000006</v>
      </c>
      <c r="O778">
        <f t="shared" si="75"/>
        <v>37525.840000000004</v>
      </c>
      <c r="P778">
        <f t="shared" si="76"/>
        <v>7257.4040000000023</v>
      </c>
      <c r="Q778">
        <f t="shared" si="77"/>
        <v>16.20562369264719</v>
      </c>
      <c r="R778" t="s">
        <v>49</v>
      </c>
      <c r="S778" t="s">
        <v>45</v>
      </c>
      <c r="T778">
        <v>4.3</v>
      </c>
    </row>
    <row r="779" spans="1:20">
      <c r="A779" t="s">
        <v>847</v>
      </c>
      <c r="B779" s="3">
        <v>45863</v>
      </c>
      <c r="C779" t="s">
        <v>21</v>
      </c>
      <c r="D779" t="s">
        <v>26</v>
      </c>
      <c r="E779" t="s">
        <v>68</v>
      </c>
      <c r="F779" t="s">
        <v>24</v>
      </c>
      <c r="G779" t="s">
        <v>29</v>
      </c>
      <c r="H779">
        <v>20</v>
      </c>
      <c r="I779">
        <v>120.96</v>
      </c>
      <c r="J779">
        <v>67.2</v>
      </c>
      <c r="K779">
        <f t="shared" si="72"/>
        <v>2419.1999999999998</v>
      </c>
      <c r="L779">
        <v>0.05</v>
      </c>
      <c r="M779">
        <f t="shared" si="73"/>
        <v>120.96</v>
      </c>
      <c r="N779">
        <f t="shared" si="74"/>
        <v>2298.2399999999998</v>
      </c>
      <c r="O779">
        <f t="shared" si="75"/>
        <v>1344</v>
      </c>
      <c r="P779">
        <f t="shared" si="76"/>
        <v>954.23999999999978</v>
      </c>
      <c r="Q779">
        <f t="shared" si="77"/>
        <v>41.520467836257303</v>
      </c>
      <c r="R779" t="s">
        <v>49</v>
      </c>
      <c r="S779" t="s">
        <v>43</v>
      </c>
      <c r="T779">
        <v>4.0999999999999996</v>
      </c>
    </row>
    <row r="780" spans="1:20">
      <c r="A780" t="s">
        <v>848</v>
      </c>
      <c r="B780" s="3">
        <v>45863</v>
      </c>
      <c r="C780" t="s">
        <v>21</v>
      </c>
      <c r="D780" t="s">
        <v>26</v>
      </c>
      <c r="E780" t="s">
        <v>68</v>
      </c>
      <c r="F780" t="s">
        <v>23</v>
      </c>
      <c r="G780" t="s">
        <v>37</v>
      </c>
      <c r="H780">
        <v>22</v>
      </c>
      <c r="I780">
        <v>37.17</v>
      </c>
      <c r="J780">
        <v>27.58</v>
      </c>
      <c r="K780">
        <f t="shared" si="72"/>
        <v>817.74</v>
      </c>
      <c r="L780">
        <v>0</v>
      </c>
      <c r="M780">
        <f t="shared" si="73"/>
        <v>0</v>
      </c>
      <c r="N780">
        <f t="shared" si="74"/>
        <v>817.74</v>
      </c>
      <c r="O780">
        <f t="shared" si="75"/>
        <v>606.76</v>
      </c>
      <c r="P780">
        <f t="shared" si="76"/>
        <v>210.98000000000002</v>
      </c>
      <c r="Q780">
        <f t="shared" si="77"/>
        <v>25.800376647834277</v>
      </c>
      <c r="R780" t="s">
        <v>49</v>
      </c>
      <c r="S780" t="s">
        <v>43</v>
      </c>
      <c r="T780">
        <v>4.2</v>
      </c>
    </row>
    <row r="781" spans="1:20">
      <c r="A781" t="s">
        <v>849</v>
      </c>
      <c r="B781" s="3">
        <v>45864</v>
      </c>
      <c r="C781" t="s">
        <v>21</v>
      </c>
      <c r="D781" t="s">
        <v>30</v>
      </c>
      <c r="E781" t="s">
        <v>68</v>
      </c>
      <c r="F781" t="s">
        <v>20</v>
      </c>
      <c r="G781" t="s">
        <v>34</v>
      </c>
      <c r="H781">
        <v>1</v>
      </c>
      <c r="I781">
        <v>170.19</v>
      </c>
      <c r="J781">
        <v>74.83</v>
      </c>
      <c r="K781">
        <f t="shared" si="72"/>
        <v>170.19</v>
      </c>
      <c r="L781">
        <v>0.15</v>
      </c>
      <c r="M781">
        <f t="shared" si="73"/>
        <v>25.528499999999998</v>
      </c>
      <c r="N781">
        <f t="shared" si="74"/>
        <v>144.66149999999999</v>
      </c>
      <c r="O781">
        <f t="shared" si="75"/>
        <v>74.83</v>
      </c>
      <c r="P781">
        <f t="shared" si="76"/>
        <v>69.831499999999991</v>
      </c>
      <c r="Q781">
        <f t="shared" si="77"/>
        <v>48.272346132177532</v>
      </c>
      <c r="R781" t="s">
        <v>49</v>
      </c>
      <c r="S781" t="s">
        <v>47</v>
      </c>
      <c r="T781">
        <v>4.2</v>
      </c>
    </row>
    <row r="782" spans="1:20">
      <c r="A782" t="s">
        <v>850</v>
      </c>
      <c r="B782" s="3">
        <v>45864</v>
      </c>
      <c r="C782" t="s">
        <v>21</v>
      </c>
      <c r="D782" t="s">
        <v>30</v>
      </c>
      <c r="E782" t="s">
        <v>68</v>
      </c>
      <c r="F782" t="s">
        <v>20</v>
      </c>
      <c r="G782" t="s">
        <v>31</v>
      </c>
      <c r="H782">
        <v>50</v>
      </c>
      <c r="I782">
        <v>1262.94</v>
      </c>
      <c r="J782">
        <v>538.66</v>
      </c>
      <c r="K782">
        <f t="shared" si="72"/>
        <v>63147</v>
      </c>
      <c r="L782">
        <v>0</v>
      </c>
      <c r="M782">
        <f t="shared" si="73"/>
        <v>0</v>
      </c>
      <c r="N782">
        <f t="shared" si="74"/>
        <v>63147</v>
      </c>
      <c r="O782">
        <f t="shared" si="75"/>
        <v>26933</v>
      </c>
      <c r="P782">
        <f t="shared" si="76"/>
        <v>36214</v>
      </c>
      <c r="Q782">
        <f t="shared" si="77"/>
        <v>57.348725988566365</v>
      </c>
      <c r="R782" t="s">
        <v>49</v>
      </c>
      <c r="S782" t="s">
        <v>41</v>
      </c>
      <c r="T782">
        <v>4.0999999999999996</v>
      </c>
    </row>
    <row r="783" spans="1:20">
      <c r="A783" t="s">
        <v>851</v>
      </c>
      <c r="B783" s="3">
        <v>45864</v>
      </c>
      <c r="C783" t="s">
        <v>21</v>
      </c>
      <c r="D783" t="s">
        <v>28</v>
      </c>
      <c r="E783" t="s">
        <v>68</v>
      </c>
      <c r="F783" t="s">
        <v>20</v>
      </c>
      <c r="G783" t="s">
        <v>31</v>
      </c>
      <c r="H783">
        <v>10</v>
      </c>
      <c r="I783">
        <v>855.26</v>
      </c>
      <c r="J783">
        <v>397.11</v>
      </c>
      <c r="K783">
        <f t="shared" si="72"/>
        <v>8552.6</v>
      </c>
      <c r="L783">
        <v>0.2</v>
      </c>
      <c r="M783">
        <f t="shared" si="73"/>
        <v>1710.5200000000002</v>
      </c>
      <c r="N783">
        <f t="shared" si="74"/>
        <v>6842.08</v>
      </c>
      <c r="O783">
        <f t="shared" si="75"/>
        <v>3971.1000000000004</v>
      </c>
      <c r="P783">
        <f t="shared" si="76"/>
        <v>2870.9799999999996</v>
      </c>
      <c r="Q783">
        <f t="shared" si="77"/>
        <v>41.960631854640688</v>
      </c>
      <c r="R783" t="s">
        <v>50</v>
      </c>
      <c r="S783" t="s">
        <v>41</v>
      </c>
      <c r="T783">
        <v>4.9000000000000004</v>
      </c>
    </row>
    <row r="784" spans="1:20">
      <c r="A784" t="s">
        <v>852</v>
      </c>
      <c r="B784" s="3">
        <v>45864</v>
      </c>
      <c r="C784" t="s">
        <v>21</v>
      </c>
      <c r="D784" t="s">
        <v>26</v>
      </c>
      <c r="E784" t="s">
        <v>68</v>
      </c>
      <c r="F784" t="s">
        <v>20</v>
      </c>
      <c r="G784" t="s">
        <v>34</v>
      </c>
      <c r="H784">
        <v>28</v>
      </c>
      <c r="I784">
        <v>1074.1099999999999</v>
      </c>
      <c r="J784">
        <v>576.85</v>
      </c>
      <c r="K784">
        <f t="shared" si="72"/>
        <v>30075.079999999998</v>
      </c>
      <c r="L784">
        <v>0.05</v>
      </c>
      <c r="M784">
        <f t="shared" si="73"/>
        <v>1503.7539999999999</v>
      </c>
      <c r="N784">
        <f t="shared" si="74"/>
        <v>28571.325999999997</v>
      </c>
      <c r="O784">
        <f t="shared" si="75"/>
        <v>16151.800000000001</v>
      </c>
      <c r="P784">
        <f t="shared" si="76"/>
        <v>12419.525999999996</v>
      </c>
      <c r="Q784">
        <f t="shared" si="77"/>
        <v>43.468497051904407</v>
      </c>
      <c r="R784" t="s">
        <v>51</v>
      </c>
      <c r="S784" t="s">
        <v>41</v>
      </c>
      <c r="T784">
        <v>4.4000000000000004</v>
      </c>
    </row>
    <row r="785" spans="1:20">
      <c r="A785" t="s">
        <v>853</v>
      </c>
      <c r="B785" s="3">
        <v>45865</v>
      </c>
      <c r="C785" t="s">
        <v>21</v>
      </c>
      <c r="D785" t="s">
        <v>26</v>
      </c>
      <c r="E785" t="s">
        <v>68</v>
      </c>
      <c r="F785" t="s">
        <v>20</v>
      </c>
      <c r="G785" t="s">
        <v>31</v>
      </c>
      <c r="H785">
        <v>23</v>
      </c>
      <c r="I785">
        <v>1440.72</v>
      </c>
      <c r="J785">
        <v>739.92</v>
      </c>
      <c r="K785">
        <f t="shared" si="72"/>
        <v>33136.559999999998</v>
      </c>
      <c r="L785">
        <v>0.1</v>
      </c>
      <c r="M785">
        <f t="shared" si="73"/>
        <v>3313.6559999999999</v>
      </c>
      <c r="N785">
        <f t="shared" si="74"/>
        <v>29822.903999999999</v>
      </c>
      <c r="O785">
        <f t="shared" si="75"/>
        <v>17018.16</v>
      </c>
      <c r="P785">
        <f t="shared" si="76"/>
        <v>12804.743999999999</v>
      </c>
      <c r="Q785">
        <f t="shared" si="77"/>
        <v>42.93593943768856</v>
      </c>
      <c r="R785" t="s">
        <v>50</v>
      </c>
      <c r="S785" t="s">
        <v>45</v>
      </c>
      <c r="T785">
        <v>4</v>
      </c>
    </row>
    <row r="786" spans="1:20">
      <c r="A786" t="s">
        <v>854</v>
      </c>
      <c r="B786" s="3">
        <v>45865</v>
      </c>
      <c r="C786" t="s">
        <v>21</v>
      </c>
      <c r="D786" t="s">
        <v>28</v>
      </c>
      <c r="E786" t="s">
        <v>68</v>
      </c>
      <c r="F786" t="s">
        <v>23</v>
      </c>
      <c r="G786" t="s">
        <v>37</v>
      </c>
      <c r="H786">
        <v>37</v>
      </c>
      <c r="I786">
        <v>807.75</v>
      </c>
      <c r="J786">
        <v>664.58</v>
      </c>
      <c r="K786">
        <f t="shared" si="72"/>
        <v>29886.75</v>
      </c>
      <c r="L786">
        <v>0.1</v>
      </c>
      <c r="M786">
        <f t="shared" si="73"/>
        <v>2988.6750000000002</v>
      </c>
      <c r="N786">
        <f t="shared" si="74"/>
        <v>26898.075000000001</v>
      </c>
      <c r="O786">
        <f t="shared" si="75"/>
        <v>24589.460000000003</v>
      </c>
      <c r="P786">
        <f t="shared" si="76"/>
        <v>2308.614999999998</v>
      </c>
      <c r="Q786">
        <f t="shared" si="77"/>
        <v>8.5828260944324004</v>
      </c>
      <c r="R786" t="s">
        <v>51</v>
      </c>
      <c r="S786" t="s">
        <v>45</v>
      </c>
      <c r="T786">
        <v>3.8</v>
      </c>
    </row>
    <row r="787" spans="1:20">
      <c r="A787" t="s">
        <v>855</v>
      </c>
      <c r="B787" s="3">
        <v>45865</v>
      </c>
      <c r="C787" t="s">
        <v>21</v>
      </c>
      <c r="D787" t="s">
        <v>26</v>
      </c>
      <c r="E787" t="s">
        <v>68</v>
      </c>
      <c r="F787" t="s">
        <v>24</v>
      </c>
      <c r="G787" t="s">
        <v>29</v>
      </c>
      <c r="H787">
        <v>50</v>
      </c>
      <c r="I787">
        <v>228.94</v>
      </c>
      <c r="J787">
        <v>118.66</v>
      </c>
      <c r="K787">
        <f t="shared" si="72"/>
        <v>11447</v>
      </c>
      <c r="L787">
        <v>0.2</v>
      </c>
      <c r="M787">
        <f t="shared" si="73"/>
        <v>2289.4</v>
      </c>
      <c r="N787">
        <f t="shared" si="74"/>
        <v>9157.6</v>
      </c>
      <c r="O787">
        <f t="shared" si="75"/>
        <v>5933</v>
      </c>
      <c r="P787">
        <f t="shared" si="76"/>
        <v>3224.6000000000004</v>
      </c>
      <c r="Q787">
        <f t="shared" si="77"/>
        <v>35.212282694155675</v>
      </c>
      <c r="R787" t="s">
        <v>49</v>
      </c>
      <c r="S787" t="s">
        <v>41</v>
      </c>
      <c r="T787">
        <v>4.3</v>
      </c>
    </row>
    <row r="788" spans="1:20">
      <c r="A788" t="s">
        <v>856</v>
      </c>
      <c r="B788" s="3">
        <v>45866</v>
      </c>
      <c r="C788" t="s">
        <v>21</v>
      </c>
      <c r="D788" t="s">
        <v>30</v>
      </c>
      <c r="E788" t="s">
        <v>86</v>
      </c>
      <c r="F788" t="s">
        <v>22</v>
      </c>
      <c r="G788" t="s">
        <v>42</v>
      </c>
      <c r="H788">
        <v>47</v>
      </c>
      <c r="I788">
        <v>618.13</v>
      </c>
      <c r="J788">
        <v>422.38</v>
      </c>
      <c r="K788">
        <f t="shared" si="72"/>
        <v>29052.11</v>
      </c>
      <c r="L788">
        <v>0.1</v>
      </c>
      <c r="M788">
        <f t="shared" si="73"/>
        <v>2905.2110000000002</v>
      </c>
      <c r="N788">
        <f t="shared" si="74"/>
        <v>26146.899000000001</v>
      </c>
      <c r="O788">
        <f t="shared" si="75"/>
        <v>19851.86</v>
      </c>
      <c r="P788">
        <f t="shared" si="76"/>
        <v>6295.0390000000007</v>
      </c>
      <c r="Q788">
        <f t="shared" si="77"/>
        <v>24.07566189780287</v>
      </c>
      <c r="R788" t="s">
        <v>51</v>
      </c>
      <c r="S788" t="s">
        <v>43</v>
      </c>
      <c r="T788">
        <v>4</v>
      </c>
    </row>
    <row r="789" spans="1:20">
      <c r="A789" t="s">
        <v>857</v>
      </c>
      <c r="B789" s="3">
        <v>45868</v>
      </c>
      <c r="C789" t="s">
        <v>21</v>
      </c>
      <c r="D789" t="s">
        <v>28</v>
      </c>
      <c r="E789" t="s">
        <v>86</v>
      </c>
      <c r="F789" t="s">
        <v>24</v>
      </c>
      <c r="G789" t="s">
        <v>46</v>
      </c>
      <c r="H789">
        <v>24</v>
      </c>
      <c r="I789">
        <v>287.7</v>
      </c>
      <c r="J789">
        <v>178.33</v>
      </c>
      <c r="K789">
        <f t="shared" si="72"/>
        <v>6904.7999999999993</v>
      </c>
      <c r="L789">
        <v>0.1</v>
      </c>
      <c r="M789">
        <f t="shared" si="73"/>
        <v>690.48</v>
      </c>
      <c r="N789">
        <f t="shared" si="74"/>
        <v>6214.32</v>
      </c>
      <c r="O789">
        <f t="shared" si="75"/>
        <v>4279.92</v>
      </c>
      <c r="P789">
        <f t="shared" si="76"/>
        <v>1934.3999999999996</v>
      </c>
      <c r="Q789">
        <f t="shared" si="77"/>
        <v>31.128104120804846</v>
      </c>
      <c r="R789" t="s">
        <v>49</v>
      </c>
      <c r="S789" t="s">
        <v>43</v>
      </c>
      <c r="T789">
        <v>4.5999999999999996</v>
      </c>
    </row>
    <row r="790" spans="1:20">
      <c r="A790" t="s">
        <v>858</v>
      </c>
      <c r="B790" s="3">
        <v>45868</v>
      </c>
      <c r="C790" t="s">
        <v>21</v>
      </c>
      <c r="D790" t="s">
        <v>26</v>
      </c>
      <c r="E790" t="s">
        <v>68</v>
      </c>
      <c r="F790" t="s">
        <v>23</v>
      </c>
      <c r="G790" t="s">
        <v>38</v>
      </c>
      <c r="H790">
        <v>29</v>
      </c>
      <c r="I790">
        <v>619.47</v>
      </c>
      <c r="J790">
        <v>483.62</v>
      </c>
      <c r="K790">
        <f t="shared" si="72"/>
        <v>17964.63</v>
      </c>
      <c r="L790">
        <v>0</v>
      </c>
      <c r="M790">
        <f t="shared" si="73"/>
        <v>0</v>
      </c>
      <c r="N790">
        <f t="shared" si="74"/>
        <v>17964.63</v>
      </c>
      <c r="O790">
        <f t="shared" si="75"/>
        <v>14024.98</v>
      </c>
      <c r="P790">
        <f t="shared" si="76"/>
        <v>3939.6500000000015</v>
      </c>
      <c r="Q790">
        <f t="shared" si="77"/>
        <v>21.930036967084774</v>
      </c>
      <c r="R790" t="s">
        <v>51</v>
      </c>
      <c r="S790" t="s">
        <v>41</v>
      </c>
      <c r="T790">
        <v>3.9</v>
      </c>
    </row>
    <row r="791" spans="1:20">
      <c r="A791" t="s">
        <v>859</v>
      </c>
      <c r="B791" s="3">
        <v>45870</v>
      </c>
      <c r="C791" t="s">
        <v>21</v>
      </c>
      <c r="D791" t="s">
        <v>28</v>
      </c>
      <c r="E791" t="s">
        <v>68</v>
      </c>
      <c r="F791" t="s">
        <v>22</v>
      </c>
      <c r="G791" t="s">
        <v>33</v>
      </c>
      <c r="H791">
        <v>21</v>
      </c>
      <c r="I791">
        <v>1040.1400000000001</v>
      </c>
      <c r="J791">
        <v>635.04999999999995</v>
      </c>
      <c r="K791">
        <f t="shared" si="72"/>
        <v>21842.940000000002</v>
      </c>
      <c r="L791">
        <v>0.05</v>
      </c>
      <c r="M791">
        <f t="shared" si="73"/>
        <v>1092.1470000000002</v>
      </c>
      <c r="N791">
        <f t="shared" si="74"/>
        <v>20750.793000000001</v>
      </c>
      <c r="O791">
        <f t="shared" si="75"/>
        <v>13336.05</v>
      </c>
      <c r="P791">
        <f t="shared" si="76"/>
        <v>7414.7430000000022</v>
      </c>
      <c r="Q791">
        <f t="shared" si="77"/>
        <v>35.732335626884243</v>
      </c>
      <c r="R791" t="s">
        <v>51</v>
      </c>
      <c r="S791" t="s">
        <v>47</v>
      </c>
      <c r="T791">
        <v>4.8</v>
      </c>
    </row>
    <row r="792" spans="1:20">
      <c r="A792" t="s">
        <v>860</v>
      </c>
      <c r="B792" s="3">
        <v>45871</v>
      </c>
      <c r="C792" t="s">
        <v>21</v>
      </c>
      <c r="D792" t="s">
        <v>26</v>
      </c>
      <c r="E792" t="s">
        <v>68</v>
      </c>
      <c r="F792" t="s">
        <v>23</v>
      </c>
      <c r="G792" t="s">
        <v>44</v>
      </c>
      <c r="H792">
        <v>27</v>
      </c>
      <c r="I792">
        <v>744.48</v>
      </c>
      <c r="J792">
        <v>615.67999999999995</v>
      </c>
      <c r="K792">
        <f t="shared" si="72"/>
        <v>20100.96</v>
      </c>
      <c r="L792">
        <v>0</v>
      </c>
      <c r="M792">
        <f t="shared" si="73"/>
        <v>0</v>
      </c>
      <c r="N792">
        <f t="shared" si="74"/>
        <v>20100.96</v>
      </c>
      <c r="O792">
        <f t="shared" si="75"/>
        <v>16623.359999999997</v>
      </c>
      <c r="P792">
        <f t="shared" si="76"/>
        <v>3477.6000000000022</v>
      </c>
      <c r="Q792">
        <f t="shared" si="77"/>
        <v>17.300666236836463</v>
      </c>
      <c r="R792" t="s">
        <v>50</v>
      </c>
      <c r="S792" t="s">
        <v>41</v>
      </c>
      <c r="T792">
        <v>3.8</v>
      </c>
    </row>
    <row r="793" spans="1:20">
      <c r="A793" t="s">
        <v>861</v>
      </c>
      <c r="B793" s="3">
        <v>45871</v>
      </c>
      <c r="C793" t="s">
        <v>21</v>
      </c>
      <c r="D793" t="s">
        <v>26</v>
      </c>
      <c r="E793" t="s">
        <v>86</v>
      </c>
      <c r="F793" t="s">
        <v>24</v>
      </c>
      <c r="G793" t="s">
        <v>40</v>
      </c>
      <c r="H793">
        <v>3</v>
      </c>
      <c r="I793">
        <v>1054.3</v>
      </c>
      <c r="J793">
        <v>614.4</v>
      </c>
      <c r="K793">
        <f t="shared" si="72"/>
        <v>3162.8999999999996</v>
      </c>
      <c r="L793">
        <v>0.1</v>
      </c>
      <c r="M793">
        <f t="shared" si="73"/>
        <v>316.28999999999996</v>
      </c>
      <c r="N793">
        <f t="shared" si="74"/>
        <v>2846.6099999999997</v>
      </c>
      <c r="O793">
        <f t="shared" si="75"/>
        <v>1843.1999999999998</v>
      </c>
      <c r="P793">
        <f t="shared" si="76"/>
        <v>1003.4099999999999</v>
      </c>
      <c r="Q793">
        <f t="shared" si="77"/>
        <v>35.249296531663973</v>
      </c>
      <c r="R793" t="s">
        <v>51</v>
      </c>
      <c r="S793" t="s">
        <v>41</v>
      </c>
      <c r="T793">
        <v>5</v>
      </c>
    </row>
    <row r="794" spans="1:20">
      <c r="A794" t="s">
        <v>862</v>
      </c>
      <c r="B794" s="3">
        <v>45874</v>
      </c>
      <c r="C794" t="s">
        <v>21</v>
      </c>
      <c r="D794" t="s">
        <v>30</v>
      </c>
      <c r="E794" t="s">
        <v>68</v>
      </c>
      <c r="F794" t="s">
        <v>24</v>
      </c>
      <c r="G794" t="s">
        <v>29</v>
      </c>
      <c r="H794">
        <v>37</v>
      </c>
      <c r="I794">
        <v>849.9</v>
      </c>
      <c r="J794">
        <v>508.94</v>
      </c>
      <c r="K794">
        <f t="shared" si="72"/>
        <v>31446.3</v>
      </c>
      <c r="L794">
        <v>0.05</v>
      </c>
      <c r="M794">
        <f t="shared" si="73"/>
        <v>1572.3150000000001</v>
      </c>
      <c r="N794">
        <f t="shared" si="74"/>
        <v>29873.985000000001</v>
      </c>
      <c r="O794">
        <f t="shared" si="75"/>
        <v>18830.78</v>
      </c>
      <c r="P794">
        <f t="shared" si="76"/>
        <v>11043.205000000002</v>
      </c>
      <c r="Q794">
        <f t="shared" si="77"/>
        <v>36.965958843455269</v>
      </c>
      <c r="R794" t="s">
        <v>50</v>
      </c>
      <c r="S794" t="s">
        <v>43</v>
      </c>
      <c r="T794">
        <v>3.1</v>
      </c>
    </row>
    <row r="795" spans="1:20">
      <c r="A795" t="s">
        <v>863</v>
      </c>
      <c r="B795" s="3">
        <v>45875</v>
      </c>
      <c r="C795" t="s">
        <v>21</v>
      </c>
      <c r="D795" t="s">
        <v>32</v>
      </c>
      <c r="E795" t="s">
        <v>68</v>
      </c>
      <c r="F795" t="s">
        <v>24</v>
      </c>
      <c r="G795" t="s">
        <v>40</v>
      </c>
      <c r="H795">
        <v>34</v>
      </c>
      <c r="I795">
        <v>527.01</v>
      </c>
      <c r="J795">
        <v>304.45999999999998</v>
      </c>
      <c r="K795">
        <f t="shared" si="72"/>
        <v>17918.34</v>
      </c>
      <c r="L795">
        <v>0.1</v>
      </c>
      <c r="M795">
        <f t="shared" si="73"/>
        <v>1791.8340000000001</v>
      </c>
      <c r="N795">
        <f t="shared" si="74"/>
        <v>16126.505999999999</v>
      </c>
      <c r="O795">
        <f t="shared" si="75"/>
        <v>10351.64</v>
      </c>
      <c r="P795">
        <f t="shared" si="76"/>
        <v>5774.866</v>
      </c>
      <c r="Q795">
        <f t="shared" si="77"/>
        <v>35.809778013910766</v>
      </c>
      <c r="R795" t="s">
        <v>49</v>
      </c>
      <c r="S795" t="s">
        <v>45</v>
      </c>
      <c r="T795">
        <v>3.4</v>
      </c>
    </row>
    <row r="796" spans="1:20">
      <c r="A796" t="s">
        <v>864</v>
      </c>
      <c r="B796" s="3">
        <v>45875</v>
      </c>
      <c r="C796" t="s">
        <v>21</v>
      </c>
      <c r="D796" t="s">
        <v>30</v>
      </c>
      <c r="E796" t="s">
        <v>68</v>
      </c>
      <c r="F796" t="s">
        <v>23</v>
      </c>
      <c r="G796" t="s">
        <v>38</v>
      </c>
      <c r="H796">
        <v>8</v>
      </c>
      <c r="I796">
        <v>1295.27</v>
      </c>
      <c r="J796">
        <v>1097.46</v>
      </c>
      <c r="K796">
        <f t="shared" si="72"/>
        <v>10362.16</v>
      </c>
      <c r="L796">
        <v>0</v>
      </c>
      <c r="M796">
        <f t="shared" si="73"/>
        <v>0</v>
      </c>
      <c r="N796">
        <f t="shared" si="74"/>
        <v>10362.16</v>
      </c>
      <c r="O796">
        <f t="shared" si="75"/>
        <v>8779.68</v>
      </c>
      <c r="P796">
        <f t="shared" si="76"/>
        <v>1582.4799999999996</v>
      </c>
      <c r="Q796">
        <f t="shared" si="77"/>
        <v>15.271719409852768</v>
      </c>
      <c r="R796" t="s">
        <v>49</v>
      </c>
      <c r="S796" t="s">
        <v>41</v>
      </c>
      <c r="T796">
        <v>3.8</v>
      </c>
    </row>
    <row r="797" spans="1:20">
      <c r="A797" t="s">
        <v>865</v>
      </c>
      <c r="B797" s="3">
        <v>45877</v>
      </c>
      <c r="C797" t="s">
        <v>21</v>
      </c>
      <c r="D797" t="s">
        <v>30</v>
      </c>
      <c r="E797" t="s">
        <v>68</v>
      </c>
      <c r="F797" t="s">
        <v>22</v>
      </c>
      <c r="G797" t="s">
        <v>35</v>
      </c>
      <c r="H797">
        <v>23</v>
      </c>
      <c r="I797">
        <v>202.13</v>
      </c>
      <c r="J797">
        <v>126.45</v>
      </c>
      <c r="K797">
        <f t="shared" si="72"/>
        <v>4648.99</v>
      </c>
      <c r="L797">
        <v>0</v>
      </c>
      <c r="M797">
        <f t="shared" si="73"/>
        <v>0</v>
      </c>
      <c r="N797">
        <f t="shared" si="74"/>
        <v>4648.99</v>
      </c>
      <c r="O797">
        <f t="shared" si="75"/>
        <v>2908.35</v>
      </c>
      <c r="P797">
        <f t="shared" si="76"/>
        <v>1740.6399999999999</v>
      </c>
      <c r="Q797">
        <f t="shared" si="77"/>
        <v>37.44125068025528</v>
      </c>
      <c r="R797" t="s">
        <v>50</v>
      </c>
      <c r="S797" t="s">
        <v>43</v>
      </c>
      <c r="T797">
        <v>4.0999999999999996</v>
      </c>
    </row>
    <row r="798" spans="1:20">
      <c r="A798" t="s">
        <v>866</v>
      </c>
      <c r="B798" s="3">
        <v>45878</v>
      </c>
      <c r="C798" t="s">
        <v>21</v>
      </c>
      <c r="D798" t="s">
        <v>26</v>
      </c>
      <c r="E798" t="s">
        <v>68</v>
      </c>
      <c r="F798" t="s">
        <v>23</v>
      </c>
      <c r="G798" t="s">
        <v>38</v>
      </c>
      <c r="H798">
        <v>30</v>
      </c>
      <c r="I798">
        <v>117.43</v>
      </c>
      <c r="J798">
        <v>83.4</v>
      </c>
      <c r="K798">
        <f t="shared" si="72"/>
        <v>3522.9</v>
      </c>
      <c r="L798">
        <v>0.1</v>
      </c>
      <c r="M798">
        <f t="shared" si="73"/>
        <v>352.29</v>
      </c>
      <c r="N798">
        <f t="shared" si="74"/>
        <v>3170.61</v>
      </c>
      <c r="O798">
        <f t="shared" si="75"/>
        <v>2502</v>
      </c>
      <c r="P798">
        <f t="shared" si="76"/>
        <v>668.61000000000013</v>
      </c>
      <c r="Q798">
        <f t="shared" si="77"/>
        <v>21.087740214028219</v>
      </c>
      <c r="R798" t="s">
        <v>49</v>
      </c>
      <c r="S798" t="s">
        <v>43</v>
      </c>
      <c r="T798">
        <v>4.5999999999999996</v>
      </c>
    </row>
    <row r="799" spans="1:20">
      <c r="A799" t="s">
        <v>867</v>
      </c>
      <c r="B799" s="3">
        <v>45879</v>
      </c>
      <c r="C799" t="s">
        <v>21</v>
      </c>
      <c r="D799" t="s">
        <v>26</v>
      </c>
      <c r="E799" t="s">
        <v>70</v>
      </c>
      <c r="F799" t="s">
        <v>20</v>
      </c>
      <c r="G799" t="s">
        <v>31</v>
      </c>
      <c r="H799">
        <v>31</v>
      </c>
      <c r="I799">
        <v>648.54</v>
      </c>
      <c r="J799">
        <v>297.5</v>
      </c>
      <c r="K799">
        <f t="shared" si="72"/>
        <v>20104.739999999998</v>
      </c>
      <c r="L799">
        <v>0</v>
      </c>
      <c r="M799">
        <f t="shared" si="73"/>
        <v>0</v>
      </c>
      <c r="N799">
        <f t="shared" si="74"/>
        <v>20104.739999999998</v>
      </c>
      <c r="O799">
        <f t="shared" si="75"/>
        <v>9222.5</v>
      </c>
      <c r="P799">
        <f t="shared" si="76"/>
        <v>10882.239999999998</v>
      </c>
      <c r="Q799">
        <f t="shared" si="77"/>
        <v>54.127733061954544</v>
      </c>
      <c r="R799" t="s">
        <v>50</v>
      </c>
      <c r="S799" t="s">
        <v>41</v>
      </c>
      <c r="T799">
        <v>3.8</v>
      </c>
    </row>
    <row r="800" spans="1:20">
      <c r="A800" t="s">
        <v>868</v>
      </c>
      <c r="B800" s="3">
        <v>45879</v>
      </c>
      <c r="C800" t="s">
        <v>21</v>
      </c>
      <c r="D800" t="s">
        <v>28</v>
      </c>
      <c r="E800" t="s">
        <v>68</v>
      </c>
      <c r="F800" t="s">
        <v>24</v>
      </c>
      <c r="G800" t="s">
        <v>40</v>
      </c>
      <c r="H800">
        <v>47</v>
      </c>
      <c r="I800">
        <v>546.76</v>
      </c>
      <c r="J800">
        <v>306.55</v>
      </c>
      <c r="K800">
        <f t="shared" si="72"/>
        <v>25697.72</v>
      </c>
      <c r="L800">
        <v>0</v>
      </c>
      <c r="M800">
        <f t="shared" si="73"/>
        <v>0</v>
      </c>
      <c r="N800">
        <f t="shared" si="74"/>
        <v>25697.72</v>
      </c>
      <c r="O800">
        <f t="shared" si="75"/>
        <v>14407.85</v>
      </c>
      <c r="P800">
        <f t="shared" si="76"/>
        <v>11289.87</v>
      </c>
      <c r="Q800">
        <f t="shared" si="77"/>
        <v>43.933352842197678</v>
      </c>
      <c r="R800" t="s">
        <v>51</v>
      </c>
      <c r="S800" t="s">
        <v>41</v>
      </c>
      <c r="T800">
        <v>4.0999999999999996</v>
      </c>
    </row>
    <row r="801" spans="1:20">
      <c r="A801" t="s">
        <v>869</v>
      </c>
      <c r="B801" s="3">
        <v>45880</v>
      </c>
      <c r="C801" t="s">
        <v>21</v>
      </c>
      <c r="D801" t="s">
        <v>30</v>
      </c>
      <c r="E801" t="s">
        <v>70</v>
      </c>
      <c r="F801" t="s">
        <v>23</v>
      </c>
      <c r="G801" t="s">
        <v>44</v>
      </c>
      <c r="H801">
        <v>44</v>
      </c>
      <c r="I801">
        <v>78</v>
      </c>
      <c r="J801">
        <v>55.51</v>
      </c>
      <c r="K801">
        <f t="shared" si="72"/>
        <v>3432</v>
      </c>
      <c r="L801">
        <v>0</v>
      </c>
      <c r="M801">
        <f t="shared" si="73"/>
        <v>0</v>
      </c>
      <c r="N801">
        <f t="shared" si="74"/>
        <v>3432</v>
      </c>
      <c r="O801">
        <f t="shared" si="75"/>
        <v>2442.44</v>
      </c>
      <c r="P801">
        <f t="shared" si="76"/>
        <v>989.56</v>
      </c>
      <c r="Q801">
        <f t="shared" si="77"/>
        <v>28.833333333333332</v>
      </c>
      <c r="R801" t="s">
        <v>49</v>
      </c>
      <c r="S801" t="s">
        <v>43</v>
      </c>
      <c r="T801">
        <v>4.2</v>
      </c>
    </row>
    <row r="802" spans="1:20">
      <c r="A802" t="s">
        <v>870</v>
      </c>
      <c r="B802" s="3">
        <v>45881</v>
      </c>
      <c r="C802" t="s">
        <v>21</v>
      </c>
      <c r="D802" t="s">
        <v>30</v>
      </c>
      <c r="E802" t="s">
        <v>68</v>
      </c>
      <c r="F802" t="s">
        <v>22</v>
      </c>
      <c r="G802" t="s">
        <v>42</v>
      </c>
      <c r="H802">
        <v>25</v>
      </c>
      <c r="I802">
        <v>1210.1400000000001</v>
      </c>
      <c r="J802">
        <v>796.94</v>
      </c>
      <c r="K802">
        <f t="shared" si="72"/>
        <v>30253.500000000004</v>
      </c>
      <c r="L802">
        <v>0.25</v>
      </c>
      <c r="M802">
        <f t="shared" si="73"/>
        <v>7563.3750000000009</v>
      </c>
      <c r="N802">
        <f t="shared" si="74"/>
        <v>22690.125000000004</v>
      </c>
      <c r="O802">
        <f t="shared" si="75"/>
        <v>19923.5</v>
      </c>
      <c r="P802">
        <f t="shared" si="76"/>
        <v>2766.6250000000036</v>
      </c>
      <c r="Q802">
        <f t="shared" si="77"/>
        <v>12.19307958858756</v>
      </c>
      <c r="R802" t="s">
        <v>50</v>
      </c>
      <c r="S802" t="s">
        <v>41</v>
      </c>
      <c r="T802">
        <v>3.9</v>
      </c>
    </row>
    <row r="803" spans="1:20">
      <c r="A803" t="s">
        <v>871</v>
      </c>
      <c r="B803" s="3">
        <v>45881</v>
      </c>
      <c r="C803" t="s">
        <v>21</v>
      </c>
      <c r="D803" t="s">
        <v>26</v>
      </c>
      <c r="E803" t="s">
        <v>68</v>
      </c>
      <c r="F803" t="s">
        <v>24</v>
      </c>
      <c r="G803" t="s">
        <v>29</v>
      </c>
      <c r="H803">
        <v>22</v>
      </c>
      <c r="I803">
        <v>1289.42</v>
      </c>
      <c r="J803">
        <v>863.26</v>
      </c>
      <c r="K803">
        <f t="shared" si="72"/>
        <v>28367.24</v>
      </c>
      <c r="L803">
        <v>0.1</v>
      </c>
      <c r="M803">
        <f t="shared" si="73"/>
        <v>2836.7240000000002</v>
      </c>
      <c r="N803">
        <f t="shared" si="74"/>
        <v>25530.516000000003</v>
      </c>
      <c r="O803">
        <f t="shared" si="75"/>
        <v>18991.72</v>
      </c>
      <c r="P803">
        <f t="shared" si="76"/>
        <v>6538.7960000000021</v>
      </c>
      <c r="Q803">
        <f t="shared" si="77"/>
        <v>25.611687597696815</v>
      </c>
      <c r="R803" t="s">
        <v>51</v>
      </c>
      <c r="S803" t="s">
        <v>47</v>
      </c>
      <c r="T803">
        <v>3.9</v>
      </c>
    </row>
    <row r="804" spans="1:20">
      <c r="A804" t="s">
        <v>872</v>
      </c>
      <c r="B804" s="3">
        <v>45882</v>
      </c>
      <c r="C804" t="s">
        <v>21</v>
      </c>
      <c r="D804" t="s">
        <v>26</v>
      </c>
      <c r="E804" t="s">
        <v>86</v>
      </c>
      <c r="F804" t="s">
        <v>24</v>
      </c>
      <c r="G804" t="s">
        <v>29</v>
      </c>
      <c r="H804">
        <v>50</v>
      </c>
      <c r="I804">
        <v>1322.67</v>
      </c>
      <c r="J804">
        <v>773.42</v>
      </c>
      <c r="K804">
        <f t="shared" si="72"/>
        <v>66133.5</v>
      </c>
      <c r="L804">
        <v>0</v>
      </c>
      <c r="M804">
        <f t="shared" si="73"/>
        <v>0</v>
      </c>
      <c r="N804">
        <f t="shared" si="74"/>
        <v>66133.5</v>
      </c>
      <c r="O804">
        <f t="shared" si="75"/>
        <v>38671</v>
      </c>
      <c r="P804">
        <f t="shared" si="76"/>
        <v>27462.5</v>
      </c>
      <c r="Q804">
        <f t="shared" si="77"/>
        <v>41.525853009443018</v>
      </c>
      <c r="R804" t="s">
        <v>51</v>
      </c>
      <c r="S804" t="s">
        <v>45</v>
      </c>
      <c r="T804">
        <v>3.7</v>
      </c>
    </row>
    <row r="805" spans="1:20">
      <c r="A805" t="s">
        <v>873</v>
      </c>
      <c r="B805" s="3">
        <v>45884</v>
      </c>
      <c r="C805" t="s">
        <v>21</v>
      </c>
      <c r="D805" t="s">
        <v>32</v>
      </c>
      <c r="E805" t="s">
        <v>68</v>
      </c>
      <c r="F805" t="s">
        <v>23</v>
      </c>
      <c r="G805" t="s">
        <v>38</v>
      </c>
      <c r="H805">
        <v>29</v>
      </c>
      <c r="I805">
        <v>709.39</v>
      </c>
      <c r="J805">
        <v>538.41999999999996</v>
      </c>
      <c r="K805">
        <f t="shared" si="72"/>
        <v>20572.310000000001</v>
      </c>
      <c r="L805">
        <v>0</v>
      </c>
      <c r="M805">
        <f t="shared" si="73"/>
        <v>0</v>
      </c>
      <c r="N805">
        <f t="shared" si="74"/>
        <v>20572.310000000001</v>
      </c>
      <c r="O805">
        <f t="shared" si="75"/>
        <v>15614.179999999998</v>
      </c>
      <c r="P805">
        <f t="shared" si="76"/>
        <v>4958.1300000000028</v>
      </c>
      <c r="Q805">
        <f t="shared" si="77"/>
        <v>24.100988172937324</v>
      </c>
      <c r="R805" t="s">
        <v>51</v>
      </c>
      <c r="S805" t="s">
        <v>47</v>
      </c>
      <c r="T805">
        <v>3.3</v>
      </c>
    </row>
    <row r="806" spans="1:20">
      <c r="A806" t="s">
        <v>874</v>
      </c>
      <c r="B806" s="3">
        <v>45884</v>
      </c>
      <c r="C806" t="s">
        <v>21</v>
      </c>
      <c r="D806" t="s">
        <v>30</v>
      </c>
      <c r="E806" t="s">
        <v>70</v>
      </c>
      <c r="F806" t="s">
        <v>23</v>
      </c>
      <c r="G806" t="s">
        <v>38</v>
      </c>
      <c r="H806">
        <v>5</v>
      </c>
      <c r="I806">
        <v>260.11</v>
      </c>
      <c r="J806">
        <v>204.55</v>
      </c>
      <c r="K806">
        <f t="shared" si="72"/>
        <v>1300.5500000000002</v>
      </c>
      <c r="L806">
        <v>0</v>
      </c>
      <c r="M806">
        <f t="shared" si="73"/>
        <v>0</v>
      </c>
      <c r="N806">
        <f t="shared" si="74"/>
        <v>1300.5500000000002</v>
      </c>
      <c r="O806">
        <f t="shared" si="75"/>
        <v>1022.75</v>
      </c>
      <c r="P806">
        <f t="shared" si="76"/>
        <v>277.80000000000018</v>
      </c>
      <c r="Q806">
        <f t="shared" si="77"/>
        <v>21.360193764176707</v>
      </c>
      <c r="R806" t="s">
        <v>50</v>
      </c>
      <c r="S806" t="s">
        <v>41</v>
      </c>
      <c r="T806">
        <v>4.5</v>
      </c>
    </row>
    <row r="807" spans="1:20">
      <c r="A807" t="s">
        <v>875</v>
      </c>
      <c r="B807" s="3">
        <v>45884</v>
      </c>
      <c r="C807" t="s">
        <v>21</v>
      </c>
      <c r="D807" t="s">
        <v>32</v>
      </c>
      <c r="E807" t="s">
        <v>68</v>
      </c>
      <c r="F807" t="s">
        <v>24</v>
      </c>
      <c r="G807" t="s">
        <v>29</v>
      </c>
      <c r="H807">
        <v>8</v>
      </c>
      <c r="I807">
        <v>572.23</v>
      </c>
      <c r="J807">
        <v>316.27999999999997</v>
      </c>
      <c r="K807">
        <f t="shared" si="72"/>
        <v>4577.84</v>
      </c>
      <c r="L807">
        <v>0.15</v>
      </c>
      <c r="M807">
        <f t="shared" si="73"/>
        <v>686.67600000000004</v>
      </c>
      <c r="N807">
        <f t="shared" si="74"/>
        <v>3891.1640000000002</v>
      </c>
      <c r="O807">
        <f t="shared" si="75"/>
        <v>2530.2399999999998</v>
      </c>
      <c r="P807">
        <f t="shared" si="76"/>
        <v>1360.9240000000004</v>
      </c>
      <c r="Q807">
        <f t="shared" si="77"/>
        <v>34.974727356647016</v>
      </c>
      <c r="R807" t="s">
        <v>51</v>
      </c>
      <c r="S807" t="s">
        <v>47</v>
      </c>
      <c r="T807">
        <v>3.4</v>
      </c>
    </row>
    <row r="808" spans="1:20">
      <c r="A808" t="s">
        <v>876</v>
      </c>
      <c r="B808" s="3">
        <v>45885</v>
      </c>
      <c r="C808" t="s">
        <v>21</v>
      </c>
      <c r="D808" t="s">
        <v>28</v>
      </c>
      <c r="E808" t="s">
        <v>68</v>
      </c>
      <c r="F808" t="s">
        <v>24</v>
      </c>
      <c r="G808" t="s">
        <v>29</v>
      </c>
      <c r="H808">
        <v>12</v>
      </c>
      <c r="I808">
        <v>898.56</v>
      </c>
      <c r="J808">
        <v>461.08</v>
      </c>
      <c r="K808">
        <f t="shared" si="72"/>
        <v>10782.72</v>
      </c>
      <c r="L808">
        <v>0.1</v>
      </c>
      <c r="M808">
        <f t="shared" si="73"/>
        <v>1078.2719999999999</v>
      </c>
      <c r="N808">
        <f t="shared" si="74"/>
        <v>9704.4480000000003</v>
      </c>
      <c r="O808">
        <f t="shared" si="75"/>
        <v>5532.96</v>
      </c>
      <c r="P808">
        <f t="shared" si="76"/>
        <v>4171.4880000000003</v>
      </c>
      <c r="Q808">
        <f t="shared" si="77"/>
        <v>42.985319721430834</v>
      </c>
      <c r="R808" t="s">
        <v>50</v>
      </c>
      <c r="S808" t="s">
        <v>41</v>
      </c>
      <c r="T808">
        <v>3.5</v>
      </c>
    </row>
    <row r="809" spans="1:20">
      <c r="A809" t="s">
        <v>877</v>
      </c>
      <c r="B809" s="3">
        <v>45885</v>
      </c>
      <c r="C809" t="s">
        <v>21</v>
      </c>
      <c r="D809" t="s">
        <v>26</v>
      </c>
      <c r="E809" t="s">
        <v>86</v>
      </c>
      <c r="F809" t="s">
        <v>20</v>
      </c>
      <c r="G809" t="s">
        <v>34</v>
      </c>
      <c r="H809">
        <v>41</v>
      </c>
      <c r="I809">
        <v>547.64</v>
      </c>
      <c r="J809">
        <v>201.86</v>
      </c>
      <c r="K809">
        <f t="shared" si="72"/>
        <v>22453.239999999998</v>
      </c>
      <c r="L809">
        <v>0</v>
      </c>
      <c r="M809">
        <f t="shared" si="73"/>
        <v>0</v>
      </c>
      <c r="N809">
        <f t="shared" si="74"/>
        <v>22453.239999999998</v>
      </c>
      <c r="O809">
        <f t="shared" si="75"/>
        <v>8276.26</v>
      </c>
      <c r="P809">
        <f t="shared" si="76"/>
        <v>14176.979999999998</v>
      </c>
      <c r="Q809">
        <f t="shared" si="77"/>
        <v>63.140018990577751</v>
      </c>
      <c r="R809" t="s">
        <v>49</v>
      </c>
      <c r="S809" t="s">
        <v>41</v>
      </c>
      <c r="T809">
        <v>3.7</v>
      </c>
    </row>
    <row r="810" spans="1:20">
      <c r="A810" t="s">
        <v>878</v>
      </c>
      <c r="B810" s="3">
        <v>45886</v>
      </c>
      <c r="C810" t="s">
        <v>21</v>
      </c>
      <c r="D810" t="s">
        <v>28</v>
      </c>
      <c r="E810" t="s">
        <v>68</v>
      </c>
      <c r="F810" t="s">
        <v>24</v>
      </c>
      <c r="G810" t="s">
        <v>40</v>
      </c>
      <c r="H810">
        <v>14</v>
      </c>
      <c r="I810">
        <v>707.42</v>
      </c>
      <c r="J810">
        <v>431.41</v>
      </c>
      <c r="K810">
        <f t="shared" si="72"/>
        <v>9903.8799999999992</v>
      </c>
      <c r="L810">
        <v>0</v>
      </c>
      <c r="M810">
        <f t="shared" si="73"/>
        <v>0</v>
      </c>
      <c r="N810">
        <f t="shared" si="74"/>
        <v>9903.8799999999992</v>
      </c>
      <c r="O810">
        <f t="shared" si="75"/>
        <v>6039.7400000000007</v>
      </c>
      <c r="P810">
        <f t="shared" si="76"/>
        <v>3864.1399999999985</v>
      </c>
      <c r="Q810">
        <f t="shared" si="77"/>
        <v>39.016425885612492</v>
      </c>
      <c r="R810" t="s">
        <v>49</v>
      </c>
      <c r="S810" t="s">
        <v>41</v>
      </c>
      <c r="T810">
        <v>4.7</v>
      </c>
    </row>
    <row r="811" spans="1:20">
      <c r="A811" t="s">
        <v>879</v>
      </c>
      <c r="B811" s="3">
        <v>45886</v>
      </c>
      <c r="C811" t="s">
        <v>21</v>
      </c>
      <c r="D811" t="s">
        <v>28</v>
      </c>
      <c r="E811" t="s">
        <v>86</v>
      </c>
      <c r="F811" t="s">
        <v>20</v>
      </c>
      <c r="G811" t="s">
        <v>34</v>
      </c>
      <c r="H811">
        <v>48</v>
      </c>
      <c r="I811">
        <v>763.95</v>
      </c>
      <c r="J811">
        <v>436.74</v>
      </c>
      <c r="K811">
        <f t="shared" si="72"/>
        <v>36669.600000000006</v>
      </c>
      <c r="L811">
        <v>0</v>
      </c>
      <c r="M811">
        <f t="shared" si="73"/>
        <v>0</v>
      </c>
      <c r="N811">
        <f t="shared" si="74"/>
        <v>36669.600000000006</v>
      </c>
      <c r="O811">
        <f t="shared" si="75"/>
        <v>20963.52</v>
      </c>
      <c r="P811">
        <f t="shared" si="76"/>
        <v>15706.080000000005</v>
      </c>
      <c r="Q811">
        <f t="shared" si="77"/>
        <v>42.83133712939329</v>
      </c>
      <c r="R811" t="s">
        <v>50</v>
      </c>
      <c r="S811" t="s">
        <v>41</v>
      </c>
      <c r="T811">
        <v>4.5999999999999996</v>
      </c>
    </row>
    <row r="812" spans="1:20">
      <c r="A812" t="s">
        <v>880</v>
      </c>
      <c r="B812" s="3">
        <v>45887</v>
      </c>
      <c r="C812" t="s">
        <v>21</v>
      </c>
      <c r="D812" t="s">
        <v>30</v>
      </c>
      <c r="E812" t="s">
        <v>68</v>
      </c>
      <c r="F812" t="s">
        <v>23</v>
      </c>
      <c r="G812" t="s">
        <v>38</v>
      </c>
      <c r="H812">
        <v>30</v>
      </c>
      <c r="I812">
        <v>643.70000000000005</v>
      </c>
      <c r="J812">
        <v>452.05</v>
      </c>
      <c r="K812">
        <f t="shared" si="72"/>
        <v>19311</v>
      </c>
      <c r="L812">
        <v>0.1</v>
      </c>
      <c r="M812">
        <f t="shared" si="73"/>
        <v>1931.1000000000001</v>
      </c>
      <c r="N812">
        <f t="shared" si="74"/>
        <v>17379.900000000001</v>
      </c>
      <c r="O812">
        <f t="shared" si="75"/>
        <v>13561.5</v>
      </c>
      <c r="P812">
        <f t="shared" si="76"/>
        <v>3818.4000000000015</v>
      </c>
      <c r="Q812">
        <f t="shared" si="77"/>
        <v>21.970206963216135</v>
      </c>
      <c r="R812" t="s">
        <v>49</v>
      </c>
      <c r="S812" t="s">
        <v>43</v>
      </c>
      <c r="T812">
        <v>4.3</v>
      </c>
    </row>
    <row r="813" spans="1:20">
      <c r="A813" t="s">
        <v>881</v>
      </c>
      <c r="B813" s="3">
        <v>45888</v>
      </c>
      <c r="C813" t="s">
        <v>21</v>
      </c>
      <c r="D813" t="s">
        <v>30</v>
      </c>
      <c r="E813" t="s">
        <v>86</v>
      </c>
      <c r="F813" t="s">
        <v>20</v>
      </c>
      <c r="G813" t="s">
        <v>31</v>
      </c>
      <c r="H813">
        <v>32</v>
      </c>
      <c r="I813">
        <v>1418.66</v>
      </c>
      <c r="J813">
        <v>553.66999999999996</v>
      </c>
      <c r="K813">
        <f t="shared" si="72"/>
        <v>45397.120000000003</v>
      </c>
      <c r="L813">
        <v>0.15</v>
      </c>
      <c r="M813">
        <f t="shared" si="73"/>
        <v>6809.5680000000002</v>
      </c>
      <c r="N813">
        <f t="shared" si="74"/>
        <v>38587.552000000003</v>
      </c>
      <c r="O813">
        <f t="shared" si="75"/>
        <v>17717.439999999999</v>
      </c>
      <c r="P813">
        <f t="shared" si="76"/>
        <v>20870.112000000005</v>
      </c>
      <c r="Q813">
        <f t="shared" si="77"/>
        <v>54.085089409144182</v>
      </c>
      <c r="R813" t="s">
        <v>50</v>
      </c>
      <c r="S813" t="s">
        <v>43</v>
      </c>
      <c r="T813">
        <v>3.9</v>
      </c>
    </row>
    <row r="814" spans="1:20">
      <c r="A814" t="s">
        <v>882</v>
      </c>
      <c r="B814" s="3">
        <v>45889</v>
      </c>
      <c r="C814" t="s">
        <v>21</v>
      </c>
      <c r="D814" t="s">
        <v>32</v>
      </c>
      <c r="E814" t="s">
        <v>68</v>
      </c>
      <c r="F814" t="s">
        <v>24</v>
      </c>
      <c r="G814" t="s">
        <v>29</v>
      </c>
      <c r="H814">
        <v>1</v>
      </c>
      <c r="I814">
        <v>983.53</v>
      </c>
      <c r="J814">
        <v>663.95</v>
      </c>
      <c r="K814">
        <f t="shared" si="72"/>
        <v>983.53</v>
      </c>
      <c r="L814">
        <v>0</v>
      </c>
      <c r="M814">
        <f t="shared" si="73"/>
        <v>0</v>
      </c>
      <c r="N814">
        <f t="shared" si="74"/>
        <v>983.53</v>
      </c>
      <c r="O814">
        <f t="shared" si="75"/>
        <v>663.95</v>
      </c>
      <c r="P814">
        <f t="shared" si="76"/>
        <v>319.57999999999993</v>
      </c>
      <c r="Q814">
        <f t="shared" si="77"/>
        <v>32.493162384472249</v>
      </c>
      <c r="R814" t="s">
        <v>50</v>
      </c>
      <c r="S814" t="s">
        <v>41</v>
      </c>
      <c r="T814">
        <v>4.0999999999999996</v>
      </c>
    </row>
    <row r="815" spans="1:20">
      <c r="A815" t="s">
        <v>883</v>
      </c>
      <c r="B815" s="3">
        <v>45890</v>
      </c>
      <c r="C815" t="s">
        <v>21</v>
      </c>
      <c r="D815" t="s">
        <v>28</v>
      </c>
      <c r="E815" t="s">
        <v>68</v>
      </c>
      <c r="F815" t="s">
        <v>23</v>
      </c>
      <c r="G815" t="s">
        <v>37</v>
      </c>
      <c r="H815">
        <v>39</v>
      </c>
      <c r="I815">
        <v>989.57</v>
      </c>
      <c r="J815">
        <v>704.45</v>
      </c>
      <c r="K815">
        <f t="shared" si="72"/>
        <v>38593.230000000003</v>
      </c>
      <c r="L815">
        <v>0</v>
      </c>
      <c r="M815">
        <f t="shared" si="73"/>
        <v>0</v>
      </c>
      <c r="N815">
        <f t="shared" si="74"/>
        <v>38593.230000000003</v>
      </c>
      <c r="O815">
        <f t="shared" si="75"/>
        <v>27473.550000000003</v>
      </c>
      <c r="P815">
        <f t="shared" si="76"/>
        <v>11119.68</v>
      </c>
      <c r="Q815">
        <f t="shared" si="77"/>
        <v>28.812514526511514</v>
      </c>
      <c r="R815" t="s">
        <v>49</v>
      </c>
      <c r="S815" t="s">
        <v>43</v>
      </c>
      <c r="T815">
        <v>4.5999999999999996</v>
      </c>
    </row>
    <row r="816" spans="1:20">
      <c r="A816" t="s">
        <v>884</v>
      </c>
      <c r="B816" s="3">
        <v>45890</v>
      </c>
      <c r="C816" t="s">
        <v>21</v>
      </c>
      <c r="D816" t="s">
        <v>30</v>
      </c>
      <c r="E816" t="s">
        <v>70</v>
      </c>
      <c r="F816" t="s">
        <v>22</v>
      </c>
      <c r="G816" t="s">
        <v>42</v>
      </c>
      <c r="H816">
        <v>11</v>
      </c>
      <c r="I816">
        <v>715.13</v>
      </c>
      <c r="J816">
        <v>447.69</v>
      </c>
      <c r="K816">
        <f t="shared" si="72"/>
        <v>7866.43</v>
      </c>
      <c r="L816">
        <v>0</v>
      </c>
      <c r="M816">
        <f t="shared" si="73"/>
        <v>0</v>
      </c>
      <c r="N816">
        <f t="shared" si="74"/>
        <v>7866.43</v>
      </c>
      <c r="O816">
        <f t="shared" si="75"/>
        <v>4924.59</v>
      </c>
      <c r="P816">
        <f t="shared" si="76"/>
        <v>2941.84</v>
      </c>
      <c r="Q816">
        <f t="shared" si="77"/>
        <v>37.397396277599874</v>
      </c>
      <c r="R816" t="s">
        <v>50</v>
      </c>
      <c r="S816" t="s">
        <v>41</v>
      </c>
      <c r="T816">
        <v>3.5</v>
      </c>
    </row>
    <row r="817" spans="1:20">
      <c r="A817" t="s">
        <v>885</v>
      </c>
      <c r="B817" s="3">
        <v>45891</v>
      </c>
      <c r="C817" t="s">
        <v>21</v>
      </c>
      <c r="D817" t="s">
        <v>26</v>
      </c>
      <c r="E817" t="s">
        <v>86</v>
      </c>
      <c r="F817" t="s">
        <v>23</v>
      </c>
      <c r="G817" t="s">
        <v>38</v>
      </c>
      <c r="H817">
        <v>30</v>
      </c>
      <c r="I817">
        <v>313.49</v>
      </c>
      <c r="J817">
        <v>242.07</v>
      </c>
      <c r="K817">
        <f t="shared" si="72"/>
        <v>9404.7000000000007</v>
      </c>
      <c r="L817">
        <v>0.25</v>
      </c>
      <c r="M817">
        <f t="shared" si="73"/>
        <v>2351.1750000000002</v>
      </c>
      <c r="N817">
        <f t="shared" si="74"/>
        <v>7053.5250000000005</v>
      </c>
      <c r="O817">
        <f t="shared" si="75"/>
        <v>7262.0999999999995</v>
      </c>
      <c r="P817">
        <f t="shared" si="76"/>
        <v>-208.57499999999891</v>
      </c>
      <c r="Q817">
        <f t="shared" si="77"/>
        <v>-2.9570321222367379</v>
      </c>
      <c r="R817" t="s">
        <v>50</v>
      </c>
      <c r="S817" t="s">
        <v>43</v>
      </c>
      <c r="T817">
        <v>4.2</v>
      </c>
    </row>
    <row r="818" spans="1:20">
      <c r="A818" t="s">
        <v>886</v>
      </c>
      <c r="B818" s="3">
        <v>45892</v>
      </c>
      <c r="C818" t="s">
        <v>21</v>
      </c>
      <c r="D818" t="s">
        <v>30</v>
      </c>
      <c r="E818" t="s">
        <v>86</v>
      </c>
      <c r="F818" t="s">
        <v>22</v>
      </c>
      <c r="G818" t="s">
        <v>33</v>
      </c>
      <c r="H818">
        <v>48</v>
      </c>
      <c r="I818">
        <v>1117.9000000000001</v>
      </c>
      <c r="J818">
        <v>762.12</v>
      </c>
      <c r="K818">
        <f t="shared" si="72"/>
        <v>53659.200000000004</v>
      </c>
      <c r="L818">
        <v>0</v>
      </c>
      <c r="M818">
        <f t="shared" si="73"/>
        <v>0</v>
      </c>
      <c r="N818">
        <f t="shared" si="74"/>
        <v>53659.200000000004</v>
      </c>
      <c r="O818">
        <f t="shared" si="75"/>
        <v>36581.760000000002</v>
      </c>
      <c r="P818">
        <f t="shared" si="76"/>
        <v>17077.440000000002</v>
      </c>
      <c r="Q818">
        <f t="shared" si="77"/>
        <v>31.825744699883714</v>
      </c>
      <c r="R818" t="s">
        <v>49</v>
      </c>
      <c r="S818" t="s">
        <v>41</v>
      </c>
      <c r="T818">
        <v>3</v>
      </c>
    </row>
    <row r="819" spans="1:20">
      <c r="A819" t="s">
        <v>887</v>
      </c>
      <c r="B819" s="3">
        <v>45893</v>
      </c>
      <c r="C819" t="s">
        <v>21</v>
      </c>
      <c r="D819" t="s">
        <v>26</v>
      </c>
      <c r="E819" t="s">
        <v>70</v>
      </c>
      <c r="F819" t="s">
        <v>22</v>
      </c>
      <c r="G819" t="s">
        <v>42</v>
      </c>
      <c r="H819">
        <v>29</v>
      </c>
      <c r="I819">
        <v>144.13</v>
      </c>
      <c r="J819">
        <v>103.8</v>
      </c>
      <c r="K819">
        <f t="shared" si="72"/>
        <v>4179.7699999999995</v>
      </c>
      <c r="L819">
        <v>0.15</v>
      </c>
      <c r="M819">
        <f t="shared" si="73"/>
        <v>626.96549999999991</v>
      </c>
      <c r="N819">
        <f t="shared" si="74"/>
        <v>3552.8044999999997</v>
      </c>
      <c r="O819">
        <f t="shared" si="75"/>
        <v>3010.2</v>
      </c>
      <c r="P819">
        <f t="shared" si="76"/>
        <v>542.60449999999992</v>
      </c>
      <c r="Q819">
        <f t="shared" si="77"/>
        <v>15.272568473722659</v>
      </c>
      <c r="R819" t="s">
        <v>49</v>
      </c>
      <c r="S819" t="s">
        <v>45</v>
      </c>
      <c r="T819">
        <v>4.3</v>
      </c>
    </row>
    <row r="820" spans="1:20">
      <c r="A820" t="s">
        <v>888</v>
      </c>
      <c r="B820" s="3">
        <v>45893</v>
      </c>
      <c r="C820" t="s">
        <v>21</v>
      </c>
      <c r="D820" t="s">
        <v>30</v>
      </c>
      <c r="E820" t="s">
        <v>86</v>
      </c>
      <c r="F820" t="s">
        <v>22</v>
      </c>
      <c r="G820" t="s">
        <v>42</v>
      </c>
      <c r="H820">
        <v>5</v>
      </c>
      <c r="I820">
        <v>1081.58</v>
      </c>
      <c r="J820">
        <v>853.42</v>
      </c>
      <c r="K820">
        <f t="shared" si="72"/>
        <v>5407.9</v>
      </c>
      <c r="L820">
        <v>0.1</v>
      </c>
      <c r="M820">
        <f t="shared" si="73"/>
        <v>540.79</v>
      </c>
      <c r="N820">
        <f t="shared" si="74"/>
        <v>4867.1099999999997</v>
      </c>
      <c r="O820">
        <f t="shared" si="75"/>
        <v>4267.0999999999995</v>
      </c>
      <c r="P820">
        <f t="shared" si="76"/>
        <v>600.01000000000022</v>
      </c>
      <c r="Q820">
        <f t="shared" si="77"/>
        <v>12.327849586304815</v>
      </c>
      <c r="R820" t="s">
        <v>49</v>
      </c>
      <c r="S820" t="s">
        <v>45</v>
      </c>
      <c r="T820">
        <v>3.6</v>
      </c>
    </row>
    <row r="821" spans="1:20">
      <c r="A821" t="s">
        <v>889</v>
      </c>
      <c r="B821" s="3">
        <v>45895</v>
      </c>
      <c r="C821" t="s">
        <v>21</v>
      </c>
      <c r="D821" t="s">
        <v>30</v>
      </c>
      <c r="E821" t="s">
        <v>68</v>
      </c>
      <c r="F821" t="s">
        <v>20</v>
      </c>
      <c r="G821" t="s">
        <v>36</v>
      </c>
      <c r="H821">
        <v>23</v>
      </c>
      <c r="I821">
        <v>490.58</v>
      </c>
      <c r="J821">
        <v>253.24</v>
      </c>
      <c r="K821">
        <f t="shared" si="72"/>
        <v>11283.34</v>
      </c>
      <c r="L821">
        <v>0</v>
      </c>
      <c r="M821">
        <f t="shared" si="73"/>
        <v>0</v>
      </c>
      <c r="N821">
        <f t="shared" si="74"/>
        <v>11283.34</v>
      </c>
      <c r="O821">
        <f t="shared" si="75"/>
        <v>5824.52</v>
      </c>
      <c r="P821">
        <f t="shared" si="76"/>
        <v>5458.82</v>
      </c>
      <c r="Q821">
        <f t="shared" si="77"/>
        <v>48.379469199722777</v>
      </c>
      <c r="R821" t="s">
        <v>49</v>
      </c>
      <c r="S821" t="s">
        <v>43</v>
      </c>
      <c r="T821">
        <v>3.8</v>
      </c>
    </row>
    <row r="822" spans="1:20">
      <c r="A822" t="s">
        <v>890</v>
      </c>
      <c r="B822" s="3">
        <v>45895</v>
      </c>
      <c r="C822" t="s">
        <v>21</v>
      </c>
      <c r="D822" t="s">
        <v>28</v>
      </c>
      <c r="E822" t="s">
        <v>68</v>
      </c>
      <c r="F822" t="s">
        <v>23</v>
      </c>
      <c r="G822" t="s">
        <v>44</v>
      </c>
      <c r="H822">
        <v>41</v>
      </c>
      <c r="I822">
        <v>1168.55</v>
      </c>
      <c r="J822">
        <v>852.54</v>
      </c>
      <c r="K822">
        <f t="shared" si="72"/>
        <v>47910.549999999996</v>
      </c>
      <c r="L822">
        <v>0</v>
      </c>
      <c r="M822">
        <f t="shared" si="73"/>
        <v>0</v>
      </c>
      <c r="N822">
        <f t="shared" si="74"/>
        <v>47910.549999999996</v>
      </c>
      <c r="O822">
        <f t="shared" si="75"/>
        <v>34954.14</v>
      </c>
      <c r="P822">
        <f t="shared" si="76"/>
        <v>12956.409999999996</v>
      </c>
      <c r="Q822">
        <f t="shared" si="77"/>
        <v>27.042916434897947</v>
      </c>
      <c r="R822" t="s">
        <v>51</v>
      </c>
      <c r="S822" t="s">
        <v>41</v>
      </c>
      <c r="T822">
        <v>4.4000000000000004</v>
      </c>
    </row>
    <row r="823" spans="1:20">
      <c r="A823" t="s">
        <v>891</v>
      </c>
      <c r="B823" s="3">
        <v>45895</v>
      </c>
      <c r="C823" t="s">
        <v>21</v>
      </c>
      <c r="D823" t="s">
        <v>28</v>
      </c>
      <c r="E823" t="s">
        <v>68</v>
      </c>
      <c r="F823" t="s">
        <v>20</v>
      </c>
      <c r="G823" t="s">
        <v>31</v>
      </c>
      <c r="H823">
        <v>9</v>
      </c>
      <c r="I823">
        <v>393.3</v>
      </c>
      <c r="J823">
        <v>235.52</v>
      </c>
      <c r="K823">
        <f t="shared" si="72"/>
        <v>3539.7000000000003</v>
      </c>
      <c r="L823">
        <v>0</v>
      </c>
      <c r="M823">
        <f t="shared" si="73"/>
        <v>0</v>
      </c>
      <c r="N823">
        <f t="shared" si="74"/>
        <v>3539.7000000000003</v>
      </c>
      <c r="O823">
        <f t="shared" si="75"/>
        <v>2119.6800000000003</v>
      </c>
      <c r="P823">
        <f t="shared" si="76"/>
        <v>1420.02</v>
      </c>
      <c r="Q823">
        <f t="shared" si="77"/>
        <v>40.116959064327482</v>
      </c>
      <c r="R823" t="s">
        <v>49</v>
      </c>
      <c r="S823" t="s">
        <v>41</v>
      </c>
      <c r="T823">
        <v>3.4</v>
      </c>
    </row>
    <row r="824" spans="1:20">
      <c r="A824" t="s">
        <v>892</v>
      </c>
      <c r="B824" s="3">
        <v>45895</v>
      </c>
      <c r="C824" t="s">
        <v>21</v>
      </c>
      <c r="D824" t="s">
        <v>32</v>
      </c>
      <c r="E824" t="s">
        <v>68</v>
      </c>
      <c r="F824" t="s">
        <v>20</v>
      </c>
      <c r="G824" t="s">
        <v>36</v>
      </c>
      <c r="H824">
        <v>24</v>
      </c>
      <c r="I824">
        <v>881.49</v>
      </c>
      <c r="J824">
        <v>455.4</v>
      </c>
      <c r="K824">
        <f t="shared" si="72"/>
        <v>21155.760000000002</v>
      </c>
      <c r="L824">
        <v>0.1</v>
      </c>
      <c r="M824">
        <f t="shared" si="73"/>
        <v>2115.5760000000005</v>
      </c>
      <c r="N824">
        <f t="shared" si="74"/>
        <v>19040.184000000001</v>
      </c>
      <c r="O824">
        <f t="shared" si="75"/>
        <v>10929.599999999999</v>
      </c>
      <c r="P824">
        <f t="shared" si="76"/>
        <v>8110.5840000000026</v>
      </c>
      <c r="Q824">
        <f t="shared" si="77"/>
        <v>42.597193388467261</v>
      </c>
      <c r="R824" t="s">
        <v>50</v>
      </c>
      <c r="S824" t="s">
        <v>45</v>
      </c>
      <c r="T824">
        <v>4.0999999999999996</v>
      </c>
    </row>
    <row r="825" spans="1:20">
      <c r="A825" t="s">
        <v>893</v>
      </c>
      <c r="B825" s="3">
        <v>45895</v>
      </c>
      <c r="C825" t="s">
        <v>21</v>
      </c>
      <c r="D825" t="s">
        <v>28</v>
      </c>
      <c r="E825" t="s">
        <v>68</v>
      </c>
      <c r="F825" t="s">
        <v>23</v>
      </c>
      <c r="G825" t="s">
        <v>38</v>
      </c>
      <c r="H825">
        <v>37</v>
      </c>
      <c r="I825">
        <v>1020.52</v>
      </c>
      <c r="J825">
        <v>806.49</v>
      </c>
      <c r="K825">
        <f t="shared" si="72"/>
        <v>37759.24</v>
      </c>
      <c r="L825">
        <v>0.15</v>
      </c>
      <c r="M825">
        <f t="shared" si="73"/>
        <v>5663.8859999999995</v>
      </c>
      <c r="N825">
        <f t="shared" si="74"/>
        <v>32095.353999999999</v>
      </c>
      <c r="O825">
        <f t="shared" si="75"/>
        <v>29840.13</v>
      </c>
      <c r="P825">
        <f t="shared" si="76"/>
        <v>2255.2239999999983</v>
      </c>
      <c r="Q825">
        <f t="shared" si="77"/>
        <v>7.0266369394149635</v>
      </c>
      <c r="R825" t="s">
        <v>49</v>
      </c>
      <c r="S825" t="s">
        <v>41</v>
      </c>
      <c r="T825">
        <v>3.8</v>
      </c>
    </row>
    <row r="826" spans="1:20">
      <c r="A826" t="s">
        <v>894</v>
      </c>
      <c r="B826" s="3">
        <v>45897</v>
      </c>
      <c r="C826" t="s">
        <v>21</v>
      </c>
      <c r="D826" t="s">
        <v>28</v>
      </c>
      <c r="E826" t="s">
        <v>68</v>
      </c>
      <c r="F826" t="s">
        <v>23</v>
      </c>
      <c r="G826" t="s">
        <v>37</v>
      </c>
      <c r="H826">
        <v>43</v>
      </c>
      <c r="I826">
        <v>1442.18</v>
      </c>
      <c r="J826">
        <v>1109.5999999999999</v>
      </c>
      <c r="K826">
        <f t="shared" si="72"/>
        <v>62013.740000000005</v>
      </c>
      <c r="L826">
        <v>0.1</v>
      </c>
      <c r="M826">
        <f t="shared" si="73"/>
        <v>6201.3740000000007</v>
      </c>
      <c r="N826">
        <f t="shared" si="74"/>
        <v>55812.366000000002</v>
      </c>
      <c r="O826">
        <f t="shared" si="75"/>
        <v>47712.799999999996</v>
      </c>
      <c r="P826">
        <f t="shared" si="76"/>
        <v>8099.5660000000062</v>
      </c>
      <c r="Q826">
        <f t="shared" si="77"/>
        <v>14.51213517807148</v>
      </c>
      <c r="R826" t="s">
        <v>49</v>
      </c>
      <c r="S826" t="s">
        <v>41</v>
      </c>
      <c r="T826">
        <v>4.3</v>
      </c>
    </row>
    <row r="827" spans="1:20">
      <c r="A827" t="s">
        <v>895</v>
      </c>
      <c r="B827" s="3">
        <v>45898</v>
      </c>
      <c r="C827" t="s">
        <v>21</v>
      </c>
      <c r="D827" t="s">
        <v>30</v>
      </c>
      <c r="E827" t="s">
        <v>68</v>
      </c>
      <c r="F827" t="s">
        <v>22</v>
      </c>
      <c r="G827" t="s">
        <v>42</v>
      </c>
      <c r="H827">
        <v>4</v>
      </c>
      <c r="I827">
        <v>1039.72</v>
      </c>
      <c r="J827">
        <v>640.5</v>
      </c>
      <c r="K827">
        <f t="shared" si="72"/>
        <v>4158.88</v>
      </c>
      <c r="L827">
        <v>0.05</v>
      </c>
      <c r="M827">
        <f t="shared" si="73"/>
        <v>207.94400000000002</v>
      </c>
      <c r="N827">
        <f t="shared" si="74"/>
        <v>3950.9360000000001</v>
      </c>
      <c r="O827">
        <f t="shared" si="75"/>
        <v>2562</v>
      </c>
      <c r="P827">
        <f t="shared" si="76"/>
        <v>1388.9360000000001</v>
      </c>
      <c r="Q827">
        <f t="shared" si="77"/>
        <v>35.154606402128515</v>
      </c>
      <c r="R827" t="s">
        <v>50</v>
      </c>
      <c r="S827" t="s">
        <v>41</v>
      </c>
      <c r="T827">
        <v>3.2</v>
      </c>
    </row>
    <row r="828" spans="1:20">
      <c r="A828" t="s">
        <v>896</v>
      </c>
      <c r="B828" s="3">
        <v>45899</v>
      </c>
      <c r="C828" t="s">
        <v>21</v>
      </c>
      <c r="D828" t="s">
        <v>30</v>
      </c>
      <c r="E828" t="s">
        <v>70</v>
      </c>
      <c r="F828" t="s">
        <v>20</v>
      </c>
      <c r="G828" t="s">
        <v>31</v>
      </c>
      <c r="H828">
        <v>5</v>
      </c>
      <c r="I828">
        <v>221.35</v>
      </c>
      <c r="J828">
        <v>113.64</v>
      </c>
      <c r="K828">
        <f t="shared" si="72"/>
        <v>1106.75</v>
      </c>
      <c r="L828">
        <v>0</v>
      </c>
      <c r="M828">
        <f t="shared" si="73"/>
        <v>0</v>
      </c>
      <c r="N828">
        <f t="shared" si="74"/>
        <v>1106.75</v>
      </c>
      <c r="O828">
        <f t="shared" si="75"/>
        <v>568.20000000000005</v>
      </c>
      <c r="P828">
        <f t="shared" si="76"/>
        <v>538.54999999999995</v>
      </c>
      <c r="Q828">
        <f t="shared" si="77"/>
        <v>48.660492432798733</v>
      </c>
      <c r="R828" t="s">
        <v>50</v>
      </c>
      <c r="S828" t="s">
        <v>43</v>
      </c>
      <c r="T828">
        <v>4.5999999999999996</v>
      </c>
    </row>
    <row r="829" spans="1:20">
      <c r="A829" t="s">
        <v>897</v>
      </c>
      <c r="B829" s="3">
        <v>45899</v>
      </c>
      <c r="C829" t="s">
        <v>21</v>
      </c>
      <c r="D829" t="s">
        <v>28</v>
      </c>
      <c r="E829" t="s">
        <v>68</v>
      </c>
      <c r="F829" t="s">
        <v>22</v>
      </c>
      <c r="G829" t="s">
        <v>33</v>
      </c>
      <c r="H829">
        <v>49</v>
      </c>
      <c r="I829">
        <v>1267.31</v>
      </c>
      <c r="J829">
        <v>925.91</v>
      </c>
      <c r="K829">
        <f t="shared" si="72"/>
        <v>62098.189999999995</v>
      </c>
      <c r="L829">
        <v>0.25</v>
      </c>
      <c r="M829">
        <f t="shared" si="73"/>
        <v>15524.547499999999</v>
      </c>
      <c r="N829">
        <f t="shared" si="74"/>
        <v>46573.642499999994</v>
      </c>
      <c r="O829">
        <f t="shared" si="75"/>
        <v>45369.59</v>
      </c>
      <c r="P829">
        <f t="shared" si="76"/>
        <v>1204.052499999998</v>
      </c>
      <c r="Q829">
        <f t="shared" si="77"/>
        <v>2.5852659044222239</v>
      </c>
      <c r="R829" t="s">
        <v>49</v>
      </c>
      <c r="S829" t="s">
        <v>43</v>
      </c>
      <c r="T829">
        <v>3.4</v>
      </c>
    </row>
    <row r="830" spans="1:20">
      <c r="A830" t="s">
        <v>898</v>
      </c>
      <c r="B830" s="3">
        <v>45900</v>
      </c>
      <c r="C830" t="s">
        <v>21</v>
      </c>
      <c r="D830" t="s">
        <v>26</v>
      </c>
      <c r="E830" t="s">
        <v>68</v>
      </c>
      <c r="F830" t="s">
        <v>20</v>
      </c>
      <c r="G830" t="s">
        <v>34</v>
      </c>
      <c r="H830">
        <v>14</v>
      </c>
      <c r="I830">
        <v>892.15</v>
      </c>
      <c r="J830">
        <v>370.8</v>
      </c>
      <c r="K830">
        <f t="shared" si="72"/>
        <v>12490.1</v>
      </c>
      <c r="L830">
        <v>0.15</v>
      </c>
      <c r="M830">
        <f t="shared" si="73"/>
        <v>1873.5149999999999</v>
      </c>
      <c r="N830">
        <f t="shared" si="74"/>
        <v>10616.585000000001</v>
      </c>
      <c r="O830">
        <f t="shared" si="75"/>
        <v>5191.2</v>
      </c>
      <c r="P830">
        <f t="shared" si="76"/>
        <v>5425.3850000000011</v>
      </c>
      <c r="Q830">
        <f t="shared" si="77"/>
        <v>51.102920571916485</v>
      </c>
      <c r="R830" t="s">
        <v>49</v>
      </c>
      <c r="S830" t="s">
        <v>45</v>
      </c>
      <c r="T830">
        <v>4.2</v>
      </c>
    </row>
    <row r="831" spans="1:20">
      <c r="A831" t="s">
        <v>899</v>
      </c>
      <c r="B831" s="3">
        <v>45900</v>
      </c>
      <c r="C831" t="s">
        <v>21</v>
      </c>
      <c r="D831" t="s">
        <v>26</v>
      </c>
      <c r="E831" t="s">
        <v>68</v>
      </c>
      <c r="F831" t="s">
        <v>22</v>
      </c>
      <c r="G831" t="s">
        <v>33</v>
      </c>
      <c r="H831">
        <v>3</v>
      </c>
      <c r="I831">
        <v>823.42</v>
      </c>
      <c r="J831">
        <v>584.26</v>
      </c>
      <c r="K831">
        <f t="shared" si="72"/>
        <v>2470.2599999999998</v>
      </c>
      <c r="L831">
        <v>0</v>
      </c>
      <c r="M831">
        <f t="shared" si="73"/>
        <v>0</v>
      </c>
      <c r="N831">
        <f t="shared" si="74"/>
        <v>2470.2599999999998</v>
      </c>
      <c r="O831">
        <f t="shared" si="75"/>
        <v>1752.78</v>
      </c>
      <c r="P831">
        <f t="shared" si="76"/>
        <v>717.47999999999979</v>
      </c>
      <c r="Q831">
        <f t="shared" si="77"/>
        <v>29.044715940832134</v>
      </c>
      <c r="R831" t="s">
        <v>49</v>
      </c>
      <c r="S831" t="s">
        <v>41</v>
      </c>
      <c r="T831">
        <v>4.8</v>
      </c>
    </row>
    <row r="832" spans="1:20">
      <c r="A832" t="s">
        <v>900</v>
      </c>
      <c r="B832" s="3">
        <v>45901</v>
      </c>
      <c r="C832" t="s">
        <v>21</v>
      </c>
      <c r="D832" t="s">
        <v>30</v>
      </c>
      <c r="E832" t="s">
        <v>70</v>
      </c>
      <c r="F832" t="s">
        <v>22</v>
      </c>
      <c r="G832" t="s">
        <v>33</v>
      </c>
      <c r="H832">
        <v>23</v>
      </c>
      <c r="I832">
        <v>322.48</v>
      </c>
      <c r="J832">
        <v>243.5</v>
      </c>
      <c r="K832">
        <f t="shared" si="72"/>
        <v>7417.0400000000009</v>
      </c>
      <c r="L832">
        <v>0.25</v>
      </c>
      <c r="M832">
        <f t="shared" si="73"/>
        <v>1854.2600000000002</v>
      </c>
      <c r="N832">
        <f t="shared" si="74"/>
        <v>5562.7800000000007</v>
      </c>
      <c r="O832">
        <f t="shared" si="75"/>
        <v>5600.5</v>
      </c>
      <c r="P832">
        <f t="shared" si="76"/>
        <v>-37.719999999999345</v>
      </c>
      <c r="Q832">
        <f t="shared" si="77"/>
        <v>-0.67807822707350174</v>
      </c>
      <c r="R832" t="s">
        <v>49</v>
      </c>
      <c r="S832" t="s">
        <v>41</v>
      </c>
      <c r="T832">
        <v>4.9000000000000004</v>
      </c>
    </row>
    <row r="833" spans="1:20">
      <c r="A833" t="s">
        <v>901</v>
      </c>
      <c r="B833" s="3">
        <v>45902</v>
      </c>
      <c r="C833" t="s">
        <v>21</v>
      </c>
      <c r="D833" t="s">
        <v>32</v>
      </c>
      <c r="E833" t="s">
        <v>70</v>
      </c>
      <c r="F833" t="s">
        <v>23</v>
      </c>
      <c r="G833" t="s">
        <v>37</v>
      </c>
      <c r="H833">
        <v>38</v>
      </c>
      <c r="I833">
        <v>329.29</v>
      </c>
      <c r="J833">
        <v>257.55</v>
      </c>
      <c r="K833">
        <f t="shared" si="72"/>
        <v>12513.02</v>
      </c>
      <c r="L833">
        <v>0.1</v>
      </c>
      <c r="M833">
        <f t="shared" si="73"/>
        <v>1251.3020000000001</v>
      </c>
      <c r="N833">
        <f t="shared" si="74"/>
        <v>11261.718000000001</v>
      </c>
      <c r="O833">
        <f t="shared" si="75"/>
        <v>9786.9</v>
      </c>
      <c r="P833">
        <f t="shared" si="76"/>
        <v>1474.8180000000011</v>
      </c>
      <c r="Q833">
        <f t="shared" si="77"/>
        <v>13.095852693168139</v>
      </c>
      <c r="R833" t="s">
        <v>50</v>
      </c>
      <c r="S833" t="s">
        <v>45</v>
      </c>
      <c r="T833">
        <v>3.3</v>
      </c>
    </row>
    <row r="834" spans="1:20">
      <c r="A834" t="s">
        <v>902</v>
      </c>
      <c r="B834" s="3">
        <v>45903</v>
      </c>
      <c r="C834" t="s">
        <v>21</v>
      </c>
      <c r="D834" t="s">
        <v>28</v>
      </c>
      <c r="E834" t="s">
        <v>70</v>
      </c>
      <c r="F834" t="s">
        <v>20</v>
      </c>
      <c r="G834" t="s">
        <v>34</v>
      </c>
      <c r="H834">
        <v>10</v>
      </c>
      <c r="I834">
        <v>919.12</v>
      </c>
      <c r="J834">
        <v>519.11</v>
      </c>
      <c r="K834">
        <f t="shared" ref="K834:K897" si="78">H834*I834</f>
        <v>9191.2000000000007</v>
      </c>
      <c r="L834">
        <v>0.05</v>
      </c>
      <c r="M834">
        <f t="shared" ref="M834:M897" si="79">K834*L834</f>
        <v>459.56000000000006</v>
      </c>
      <c r="N834">
        <f t="shared" ref="N834:N897" si="80">K834-M834</f>
        <v>8731.6400000000012</v>
      </c>
      <c r="O834">
        <f t="shared" ref="O834:O897" si="81">H834*J834</f>
        <v>5191.1000000000004</v>
      </c>
      <c r="P834">
        <f t="shared" ref="P834:P897" si="82">N834-O834</f>
        <v>3540.5400000000009</v>
      </c>
      <c r="Q834">
        <f t="shared" ref="Q834:Q897" si="83">IFERROR(P834/N834*100,0)</f>
        <v>40.548396406631518</v>
      </c>
      <c r="R834" t="s">
        <v>49</v>
      </c>
      <c r="S834" t="s">
        <v>45</v>
      </c>
      <c r="T834">
        <v>3.3</v>
      </c>
    </row>
    <row r="835" spans="1:20">
      <c r="A835" t="s">
        <v>903</v>
      </c>
      <c r="B835" s="3">
        <v>45903</v>
      </c>
      <c r="C835" t="s">
        <v>21</v>
      </c>
      <c r="D835" t="s">
        <v>28</v>
      </c>
      <c r="E835" t="s">
        <v>68</v>
      </c>
      <c r="F835" t="s">
        <v>20</v>
      </c>
      <c r="G835" t="s">
        <v>36</v>
      </c>
      <c r="H835">
        <v>34</v>
      </c>
      <c r="I835">
        <v>678.8</v>
      </c>
      <c r="J835">
        <v>377.35</v>
      </c>
      <c r="K835">
        <f t="shared" si="78"/>
        <v>23079.199999999997</v>
      </c>
      <c r="L835">
        <v>0.1</v>
      </c>
      <c r="M835">
        <f t="shared" si="79"/>
        <v>2307.9199999999996</v>
      </c>
      <c r="N835">
        <f t="shared" si="80"/>
        <v>20771.28</v>
      </c>
      <c r="O835">
        <f t="shared" si="81"/>
        <v>12829.900000000001</v>
      </c>
      <c r="P835">
        <f t="shared" si="82"/>
        <v>7941.3799999999974</v>
      </c>
      <c r="Q835">
        <f t="shared" si="83"/>
        <v>38.232501800563071</v>
      </c>
      <c r="R835" t="s">
        <v>49</v>
      </c>
      <c r="S835" t="s">
        <v>41</v>
      </c>
      <c r="T835">
        <v>4.0999999999999996</v>
      </c>
    </row>
    <row r="836" spans="1:20">
      <c r="A836" t="s">
        <v>904</v>
      </c>
      <c r="B836" s="3">
        <v>45904</v>
      </c>
      <c r="C836" t="s">
        <v>21</v>
      </c>
      <c r="D836" t="s">
        <v>28</v>
      </c>
      <c r="E836" t="s">
        <v>68</v>
      </c>
      <c r="F836" t="s">
        <v>23</v>
      </c>
      <c r="G836" t="s">
        <v>37</v>
      </c>
      <c r="H836">
        <v>25</v>
      </c>
      <c r="I836">
        <v>333.42</v>
      </c>
      <c r="J836">
        <v>258.48</v>
      </c>
      <c r="K836">
        <f t="shared" si="78"/>
        <v>8335.5</v>
      </c>
      <c r="L836">
        <v>0.15</v>
      </c>
      <c r="M836">
        <f t="shared" si="79"/>
        <v>1250.325</v>
      </c>
      <c r="N836">
        <f t="shared" si="80"/>
        <v>7085.1750000000002</v>
      </c>
      <c r="O836">
        <f t="shared" si="81"/>
        <v>6462</v>
      </c>
      <c r="P836">
        <f t="shared" si="82"/>
        <v>623.17500000000018</v>
      </c>
      <c r="Q836">
        <f t="shared" si="83"/>
        <v>8.7954778816331309</v>
      </c>
      <c r="R836" t="s">
        <v>49</v>
      </c>
      <c r="S836" t="s">
        <v>43</v>
      </c>
      <c r="T836">
        <v>4.0999999999999996</v>
      </c>
    </row>
    <row r="837" spans="1:20">
      <c r="A837" t="s">
        <v>905</v>
      </c>
      <c r="B837" s="3">
        <v>45906</v>
      </c>
      <c r="C837" t="s">
        <v>21</v>
      </c>
      <c r="D837" t="s">
        <v>30</v>
      </c>
      <c r="E837" t="s">
        <v>68</v>
      </c>
      <c r="F837" t="s">
        <v>24</v>
      </c>
      <c r="G837" t="s">
        <v>29</v>
      </c>
      <c r="H837">
        <v>9</v>
      </c>
      <c r="I837">
        <v>1421.43</v>
      </c>
      <c r="J837">
        <v>875.91</v>
      </c>
      <c r="K837">
        <f t="shared" si="78"/>
        <v>12792.87</v>
      </c>
      <c r="L837">
        <v>0.1</v>
      </c>
      <c r="M837">
        <f t="shared" si="79"/>
        <v>1279.2870000000003</v>
      </c>
      <c r="N837">
        <f t="shared" si="80"/>
        <v>11513.583000000001</v>
      </c>
      <c r="O837">
        <f t="shared" si="81"/>
        <v>7883.19</v>
      </c>
      <c r="P837">
        <f t="shared" si="82"/>
        <v>3630.3930000000009</v>
      </c>
      <c r="Q837">
        <f t="shared" si="83"/>
        <v>31.531392095753347</v>
      </c>
      <c r="R837" t="s">
        <v>51</v>
      </c>
      <c r="S837" t="s">
        <v>41</v>
      </c>
      <c r="T837">
        <v>4.9000000000000004</v>
      </c>
    </row>
    <row r="838" spans="1:20">
      <c r="A838" t="s">
        <v>906</v>
      </c>
      <c r="B838" s="3">
        <v>45906</v>
      </c>
      <c r="C838" t="s">
        <v>21</v>
      </c>
      <c r="D838" t="s">
        <v>30</v>
      </c>
      <c r="E838" t="s">
        <v>68</v>
      </c>
      <c r="F838" t="s">
        <v>24</v>
      </c>
      <c r="G838" t="s">
        <v>40</v>
      </c>
      <c r="H838">
        <v>31</v>
      </c>
      <c r="I838">
        <v>1139.6500000000001</v>
      </c>
      <c r="J838">
        <v>589.23</v>
      </c>
      <c r="K838">
        <f t="shared" si="78"/>
        <v>35329.15</v>
      </c>
      <c r="L838">
        <v>0</v>
      </c>
      <c r="M838">
        <f t="shared" si="79"/>
        <v>0</v>
      </c>
      <c r="N838">
        <f t="shared" si="80"/>
        <v>35329.15</v>
      </c>
      <c r="O838">
        <f t="shared" si="81"/>
        <v>18266.13</v>
      </c>
      <c r="P838">
        <f t="shared" si="82"/>
        <v>17063.02</v>
      </c>
      <c r="Q838">
        <f t="shared" si="83"/>
        <v>48.297284253937612</v>
      </c>
      <c r="R838" t="s">
        <v>51</v>
      </c>
      <c r="S838" t="s">
        <v>47</v>
      </c>
      <c r="T838">
        <v>4.9000000000000004</v>
      </c>
    </row>
    <row r="839" spans="1:20">
      <c r="A839" t="s">
        <v>907</v>
      </c>
      <c r="B839" s="3">
        <v>45906</v>
      </c>
      <c r="C839" t="s">
        <v>21</v>
      </c>
      <c r="D839" t="s">
        <v>28</v>
      </c>
      <c r="E839" t="s">
        <v>68</v>
      </c>
      <c r="F839" t="s">
        <v>20</v>
      </c>
      <c r="G839" t="s">
        <v>34</v>
      </c>
      <c r="H839">
        <v>22</v>
      </c>
      <c r="I839">
        <v>891.33</v>
      </c>
      <c r="J839">
        <v>454.04</v>
      </c>
      <c r="K839">
        <f t="shared" si="78"/>
        <v>19609.260000000002</v>
      </c>
      <c r="L839">
        <v>0</v>
      </c>
      <c r="M839">
        <f t="shared" si="79"/>
        <v>0</v>
      </c>
      <c r="N839">
        <f t="shared" si="80"/>
        <v>19609.260000000002</v>
      </c>
      <c r="O839">
        <f t="shared" si="81"/>
        <v>9988.880000000001</v>
      </c>
      <c r="P839">
        <f t="shared" si="82"/>
        <v>9620.380000000001</v>
      </c>
      <c r="Q839">
        <f t="shared" si="83"/>
        <v>49.060392896009333</v>
      </c>
      <c r="R839" t="s">
        <v>49</v>
      </c>
      <c r="S839" t="s">
        <v>41</v>
      </c>
      <c r="T839">
        <v>4.5</v>
      </c>
    </row>
    <row r="840" spans="1:20">
      <c r="A840" t="s">
        <v>908</v>
      </c>
      <c r="B840" s="3">
        <v>45906</v>
      </c>
      <c r="C840" t="s">
        <v>21</v>
      </c>
      <c r="D840" t="s">
        <v>30</v>
      </c>
      <c r="E840" t="s">
        <v>68</v>
      </c>
      <c r="F840" t="s">
        <v>22</v>
      </c>
      <c r="G840" t="s">
        <v>42</v>
      </c>
      <c r="H840">
        <v>18</v>
      </c>
      <c r="I840">
        <v>321.12</v>
      </c>
      <c r="J840">
        <v>219.61</v>
      </c>
      <c r="K840">
        <f t="shared" si="78"/>
        <v>5780.16</v>
      </c>
      <c r="L840">
        <v>0.2</v>
      </c>
      <c r="M840">
        <f t="shared" si="79"/>
        <v>1156.0319999999999</v>
      </c>
      <c r="N840">
        <f t="shared" si="80"/>
        <v>4624.1279999999997</v>
      </c>
      <c r="O840">
        <f t="shared" si="81"/>
        <v>3952.9800000000005</v>
      </c>
      <c r="P840">
        <f t="shared" si="82"/>
        <v>671.14799999999923</v>
      </c>
      <c r="Q840">
        <f t="shared" si="83"/>
        <v>14.514044593921261</v>
      </c>
      <c r="R840" t="s">
        <v>50</v>
      </c>
      <c r="S840" t="s">
        <v>47</v>
      </c>
      <c r="T840">
        <v>4</v>
      </c>
    </row>
    <row r="841" spans="1:20">
      <c r="A841" t="s">
        <v>909</v>
      </c>
      <c r="B841" s="3">
        <v>45907</v>
      </c>
      <c r="C841" t="s">
        <v>21</v>
      </c>
      <c r="D841" t="s">
        <v>26</v>
      </c>
      <c r="E841" t="s">
        <v>68</v>
      </c>
      <c r="F841" t="s">
        <v>22</v>
      </c>
      <c r="G841" t="s">
        <v>35</v>
      </c>
      <c r="H841">
        <v>40</v>
      </c>
      <c r="I841">
        <v>404.72</v>
      </c>
      <c r="J841">
        <v>272.60000000000002</v>
      </c>
      <c r="K841">
        <f t="shared" si="78"/>
        <v>16188.800000000001</v>
      </c>
      <c r="L841">
        <v>0</v>
      </c>
      <c r="M841">
        <f t="shared" si="79"/>
        <v>0</v>
      </c>
      <c r="N841">
        <f t="shared" si="80"/>
        <v>16188.800000000001</v>
      </c>
      <c r="O841">
        <f t="shared" si="81"/>
        <v>10904</v>
      </c>
      <c r="P841">
        <f t="shared" si="82"/>
        <v>5284.8000000000011</v>
      </c>
      <c r="Q841">
        <f t="shared" si="83"/>
        <v>32.644791460763003</v>
      </c>
      <c r="R841" t="s">
        <v>49</v>
      </c>
      <c r="S841" t="s">
        <v>43</v>
      </c>
      <c r="T841">
        <v>3.4</v>
      </c>
    </row>
    <row r="842" spans="1:20">
      <c r="A842" t="s">
        <v>910</v>
      </c>
      <c r="B842" s="3">
        <v>45907</v>
      </c>
      <c r="C842" t="s">
        <v>21</v>
      </c>
      <c r="D842" t="s">
        <v>28</v>
      </c>
      <c r="E842" t="s">
        <v>86</v>
      </c>
      <c r="F842" t="s">
        <v>22</v>
      </c>
      <c r="G842" t="s">
        <v>42</v>
      </c>
      <c r="H842">
        <v>10</v>
      </c>
      <c r="I842">
        <v>1446.17</v>
      </c>
      <c r="J842">
        <v>1153.1500000000001</v>
      </c>
      <c r="K842">
        <f t="shared" si="78"/>
        <v>14461.7</v>
      </c>
      <c r="L842">
        <v>0</v>
      </c>
      <c r="M842">
        <f t="shared" si="79"/>
        <v>0</v>
      </c>
      <c r="N842">
        <f t="shared" si="80"/>
        <v>14461.7</v>
      </c>
      <c r="O842">
        <f t="shared" si="81"/>
        <v>11531.5</v>
      </c>
      <c r="P842">
        <f t="shared" si="82"/>
        <v>2930.2000000000007</v>
      </c>
      <c r="Q842">
        <f t="shared" si="83"/>
        <v>20.26179494803516</v>
      </c>
      <c r="R842" t="s">
        <v>49</v>
      </c>
      <c r="S842" t="s">
        <v>43</v>
      </c>
      <c r="T842">
        <v>4.3</v>
      </c>
    </row>
    <row r="843" spans="1:20">
      <c r="A843" t="s">
        <v>911</v>
      </c>
      <c r="B843" s="3">
        <v>45907</v>
      </c>
      <c r="C843" t="s">
        <v>21</v>
      </c>
      <c r="D843" t="s">
        <v>32</v>
      </c>
      <c r="E843" t="s">
        <v>86</v>
      </c>
      <c r="F843" t="s">
        <v>23</v>
      </c>
      <c r="G843" t="s">
        <v>44</v>
      </c>
      <c r="H843">
        <v>36</v>
      </c>
      <c r="I843">
        <v>207.38</v>
      </c>
      <c r="J843">
        <v>155.63</v>
      </c>
      <c r="K843">
        <f t="shared" si="78"/>
        <v>7465.68</v>
      </c>
      <c r="L843">
        <v>0.05</v>
      </c>
      <c r="M843">
        <f t="shared" si="79"/>
        <v>373.28400000000005</v>
      </c>
      <c r="N843">
        <f t="shared" si="80"/>
        <v>7092.3960000000006</v>
      </c>
      <c r="O843">
        <f t="shared" si="81"/>
        <v>5602.68</v>
      </c>
      <c r="P843">
        <f t="shared" si="82"/>
        <v>1489.7160000000003</v>
      </c>
      <c r="Q843">
        <f t="shared" si="83"/>
        <v>21.004410921217602</v>
      </c>
      <c r="R843" t="s">
        <v>50</v>
      </c>
      <c r="S843" t="s">
        <v>41</v>
      </c>
      <c r="T843">
        <v>4.5</v>
      </c>
    </row>
    <row r="844" spans="1:20">
      <c r="A844" t="s">
        <v>912</v>
      </c>
      <c r="B844" s="3">
        <v>45907</v>
      </c>
      <c r="C844" t="s">
        <v>21</v>
      </c>
      <c r="D844" t="s">
        <v>30</v>
      </c>
      <c r="E844" t="s">
        <v>68</v>
      </c>
      <c r="F844" t="s">
        <v>23</v>
      </c>
      <c r="G844" t="s">
        <v>37</v>
      </c>
      <c r="H844">
        <v>30</v>
      </c>
      <c r="I844">
        <v>582.51</v>
      </c>
      <c r="J844">
        <v>479.58</v>
      </c>
      <c r="K844">
        <f t="shared" si="78"/>
        <v>17475.3</v>
      </c>
      <c r="L844">
        <v>0.05</v>
      </c>
      <c r="M844">
        <f t="shared" si="79"/>
        <v>873.76499999999999</v>
      </c>
      <c r="N844">
        <f t="shared" si="80"/>
        <v>16601.535</v>
      </c>
      <c r="O844">
        <f t="shared" si="81"/>
        <v>14387.4</v>
      </c>
      <c r="P844">
        <f t="shared" si="82"/>
        <v>2214.1350000000002</v>
      </c>
      <c r="Q844">
        <f t="shared" si="83"/>
        <v>13.336929386348913</v>
      </c>
      <c r="R844" t="s">
        <v>51</v>
      </c>
      <c r="S844" t="s">
        <v>43</v>
      </c>
      <c r="T844">
        <v>4.2</v>
      </c>
    </row>
    <row r="845" spans="1:20">
      <c r="A845" t="s">
        <v>913</v>
      </c>
      <c r="B845" s="3">
        <v>45908</v>
      </c>
      <c r="C845" t="s">
        <v>21</v>
      </c>
      <c r="D845" t="s">
        <v>32</v>
      </c>
      <c r="E845" t="s">
        <v>68</v>
      </c>
      <c r="F845" t="s">
        <v>20</v>
      </c>
      <c r="G845" t="s">
        <v>36</v>
      </c>
      <c r="H845">
        <v>35</v>
      </c>
      <c r="I845">
        <v>1046.54</v>
      </c>
      <c r="J845">
        <v>376.47</v>
      </c>
      <c r="K845">
        <f t="shared" si="78"/>
        <v>36628.9</v>
      </c>
      <c r="L845">
        <v>0.1</v>
      </c>
      <c r="M845">
        <f t="shared" si="79"/>
        <v>3662.8900000000003</v>
      </c>
      <c r="N845">
        <f t="shared" si="80"/>
        <v>32966.01</v>
      </c>
      <c r="O845">
        <f t="shared" si="81"/>
        <v>13176.45</v>
      </c>
      <c r="P845">
        <f t="shared" si="82"/>
        <v>19789.560000000001</v>
      </c>
      <c r="Q845">
        <f t="shared" si="83"/>
        <v>60.03019473694269</v>
      </c>
      <c r="R845" t="s">
        <v>51</v>
      </c>
      <c r="S845" t="s">
        <v>41</v>
      </c>
      <c r="T845">
        <v>3.9</v>
      </c>
    </row>
    <row r="846" spans="1:20">
      <c r="A846" t="s">
        <v>914</v>
      </c>
      <c r="B846" s="3">
        <v>45909</v>
      </c>
      <c r="C846" t="s">
        <v>21</v>
      </c>
      <c r="D846" t="s">
        <v>26</v>
      </c>
      <c r="E846" t="s">
        <v>68</v>
      </c>
      <c r="F846" t="s">
        <v>24</v>
      </c>
      <c r="G846" t="s">
        <v>46</v>
      </c>
      <c r="H846">
        <v>42</v>
      </c>
      <c r="I846">
        <v>508.81</v>
      </c>
      <c r="J846">
        <v>341.04</v>
      </c>
      <c r="K846">
        <f t="shared" si="78"/>
        <v>21370.02</v>
      </c>
      <c r="L846">
        <v>0.2</v>
      </c>
      <c r="M846">
        <f t="shared" si="79"/>
        <v>4274.0039999999999</v>
      </c>
      <c r="N846">
        <f t="shared" si="80"/>
        <v>17096.016</v>
      </c>
      <c r="O846">
        <f t="shared" si="81"/>
        <v>14323.68</v>
      </c>
      <c r="P846">
        <f t="shared" si="82"/>
        <v>2772.3359999999993</v>
      </c>
      <c r="Q846">
        <f t="shared" si="83"/>
        <v>16.216269334329116</v>
      </c>
      <c r="R846" t="s">
        <v>50</v>
      </c>
      <c r="S846" t="s">
        <v>41</v>
      </c>
      <c r="T846">
        <v>3</v>
      </c>
    </row>
    <row r="847" spans="1:20">
      <c r="A847" t="s">
        <v>915</v>
      </c>
      <c r="B847" s="3">
        <v>45909</v>
      </c>
      <c r="C847" t="s">
        <v>21</v>
      </c>
      <c r="D847" t="s">
        <v>30</v>
      </c>
      <c r="E847" t="s">
        <v>68</v>
      </c>
      <c r="F847" t="s">
        <v>20</v>
      </c>
      <c r="G847" t="s">
        <v>36</v>
      </c>
      <c r="H847">
        <v>17</v>
      </c>
      <c r="I847">
        <v>631.38</v>
      </c>
      <c r="J847">
        <v>313.38</v>
      </c>
      <c r="K847">
        <f t="shared" si="78"/>
        <v>10733.46</v>
      </c>
      <c r="L847">
        <v>0</v>
      </c>
      <c r="M847">
        <f t="shared" si="79"/>
        <v>0</v>
      </c>
      <c r="N847">
        <f t="shared" si="80"/>
        <v>10733.46</v>
      </c>
      <c r="O847">
        <f t="shared" si="81"/>
        <v>5327.46</v>
      </c>
      <c r="P847">
        <f t="shared" si="82"/>
        <v>5405.9999999999991</v>
      </c>
      <c r="Q847">
        <f t="shared" si="83"/>
        <v>50.365865247552975</v>
      </c>
      <c r="R847" t="s">
        <v>49</v>
      </c>
      <c r="S847" t="s">
        <v>43</v>
      </c>
      <c r="T847">
        <v>3.5</v>
      </c>
    </row>
    <row r="848" spans="1:20">
      <c r="A848" t="s">
        <v>916</v>
      </c>
      <c r="B848" s="3">
        <v>45909</v>
      </c>
      <c r="C848" t="s">
        <v>21</v>
      </c>
      <c r="D848" t="s">
        <v>32</v>
      </c>
      <c r="E848" t="s">
        <v>86</v>
      </c>
      <c r="F848" t="s">
        <v>24</v>
      </c>
      <c r="G848" t="s">
        <v>46</v>
      </c>
      <c r="H848">
        <v>36</v>
      </c>
      <c r="I848">
        <v>430.05</v>
      </c>
      <c r="J848">
        <v>293.69</v>
      </c>
      <c r="K848">
        <f t="shared" si="78"/>
        <v>15481.800000000001</v>
      </c>
      <c r="L848">
        <v>0</v>
      </c>
      <c r="M848">
        <f t="shared" si="79"/>
        <v>0</v>
      </c>
      <c r="N848">
        <f t="shared" si="80"/>
        <v>15481.800000000001</v>
      </c>
      <c r="O848">
        <f t="shared" si="81"/>
        <v>10572.84</v>
      </c>
      <c r="P848">
        <f t="shared" si="82"/>
        <v>4908.9600000000009</v>
      </c>
      <c r="Q848">
        <f t="shared" si="83"/>
        <v>31.707940937100343</v>
      </c>
      <c r="R848" t="s">
        <v>50</v>
      </c>
      <c r="S848" t="s">
        <v>47</v>
      </c>
      <c r="T848">
        <v>3.1</v>
      </c>
    </row>
    <row r="849" spans="1:20">
      <c r="A849" t="s">
        <v>917</v>
      </c>
      <c r="B849" s="3">
        <v>45910</v>
      </c>
      <c r="C849" t="s">
        <v>21</v>
      </c>
      <c r="D849" t="s">
        <v>32</v>
      </c>
      <c r="E849" t="s">
        <v>68</v>
      </c>
      <c r="F849" t="s">
        <v>20</v>
      </c>
      <c r="G849" t="s">
        <v>34</v>
      </c>
      <c r="H849">
        <v>15</v>
      </c>
      <c r="I849">
        <v>1413.31</v>
      </c>
      <c r="J849">
        <v>495.76</v>
      </c>
      <c r="K849">
        <f t="shared" si="78"/>
        <v>21199.649999999998</v>
      </c>
      <c r="L849">
        <v>0</v>
      </c>
      <c r="M849">
        <f t="shared" si="79"/>
        <v>0</v>
      </c>
      <c r="N849">
        <f t="shared" si="80"/>
        <v>21199.649999999998</v>
      </c>
      <c r="O849">
        <f t="shared" si="81"/>
        <v>7436.4</v>
      </c>
      <c r="P849">
        <f t="shared" si="82"/>
        <v>13763.249999999998</v>
      </c>
      <c r="Q849">
        <f t="shared" si="83"/>
        <v>64.922062392539488</v>
      </c>
      <c r="R849" t="s">
        <v>49</v>
      </c>
      <c r="S849" t="s">
        <v>43</v>
      </c>
      <c r="T849">
        <v>3.8</v>
      </c>
    </row>
    <row r="850" spans="1:20">
      <c r="A850" t="s">
        <v>918</v>
      </c>
      <c r="B850" s="3">
        <v>45911</v>
      </c>
      <c r="C850" t="s">
        <v>21</v>
      </c>
      <c r="D850" t="s">
        <v>32</v>
      </c>
      <c r="E850" t="s">
        <v>70</v>
      </c>
      <c r="F850" t="s">
        <v>22</v>
      </c>
      <c r="G850" t="s">
        <v>33</v>
      </c>
      <c r="H850">
        <v>6</v>
      </c>
      <c r="I850">
        <v>352.34</v>
      </c>
      <c r="J850">
        <v>246.48</v>
      </c>
      <c r="K850">
        <f t="shared" si="78"/>
        <v>2114.04</v>
      </c>
      <c r="L850">
        <v>0.2</v>
      </c>
      <c r="M850">
        <f t="shared" si="79"/>
        <v>422.80799999999999</v>
      </c>
      <c r="N850">
        <f t="shared" si="80"/>
        <v>1691.232</v>
      </c>
      <c r="O850">
        <f t="shared" si="81"/>
        <v>1478.8799999999999</v>
      </c>
      <c r="P850">
        <f t="shared" si="82"/>
        <v>212.35200000000009</v>
      </c>
      <c r="Q850">
        <f t="shared" si="83"/>
        <v>12.556053811659199</v>
      </c>
      <c r="R850" t="s">
        <v>50</v>
      </c>
      <c r="S850" t="s">
        <v>45</v>
      </c>
      <c r="T850">
        <v>3.1</v>
      </c>
    </row>
    <row r="851" spans="1:20">
      <c r="A851" t="s">
        <v>919</v>
      </c>
      <c r="B851" s="3">
        <v>45912</v>
      </c>
      <c r="C851" t="s">
        <v>21</v>
      </c>
      <c r="D851" t="s">
        <v>30</v>
      </c>
      <c r="E851" t="s">
        <v>68</v>
      </c>
      <c r="F851" t="s">
        <v>20</v>
      </c>
      <c r="G851" t="s">
        <v>34</v>
      </c>
      <c r="H851">
        <v>29</v>
      </c>
      <c r="I851">
        <v>1021.12</v>
      </c>
      <c r="J851">
        <v>460.68</v>
      </c>
      <c r="K851">
        <f t="shared" si="78"/>
        <v>29612.48</v>
      </c>
      <c r="L851">
        <v>0.1</v>
      </c>
      <c r="M851">
        <f t="shared" si="79"/>
        <v>2961.248</v>
      </c>
      <c r="N851">
        <f t="shared" si="80"/>
        <v>26651.232</v>
      </c>
      <c r="O851">
        <f t="shared" si="81"/>
        <v>13359.72</v>
      </c>
      <c r="P851">
        <f t="shared" si="82"/>
        <v>13291.512000000001</v>
      </c>
      <c r="Q851">
        <f t="shared" si="83"/>
        <v>49.872035934398831</v>
      </c>
      <c r="R851" t="s">
        <v>49</v>
      </c>
      <c r="S851" t="s">
        <v>41</v>
      </c>
      <c r="T851">
        <v>3.9</v>
      </c>
    </row>
    <row r="852" spans="1:20">
      <c r="A852" t="s">
        <v>920</v>
      </c>
      <c r="B852" s="3">
        <v>45912</v>
      </c>
      <c r="C852" t="s">
        <v>21</v>
      </c>
      <c r="D852" t="s">
        <v>30</v>
      </c>
      <c r="E852" t="s">
        <v>86</v>
      </c>
      <c r="F852" t="s">
        <v>20</v>
      </c>
      <c r="G852" t="s">
        <v>31</v>
      </c>
      <c r="H852">
        <v>2</v>
      </c>
      <c r="I852">
        <v>1419.57</v>
      </c>
      <c r="J852">
        <v>827.94</v>
      </c>
      <c r="K852">
        <f t="shared" si="78"/>
        <v>2839.14</v>
      </c>
      <c r="L852">
        <v>0</v>
      </c>
      <c r="M852">
        <f t="shared" si="79"/>
        <v>0</v>
      </c>
      <c r="N852">
        <f t="shared" si="80"/>
        <v>2839.14</v>
      </c>
      <c r="O852">
        <f t="shared" si="81"/>
        <v>1655.88</v>
      </c>
      <c r="P852">
        <f t="shared" si="82"/>
        <v>1183.2599999999998</v>
      </c>
      <c r="Q852">
        <f t="shared" si="83"/>
        <v>41.676704917686337</v>
      </c>
      <c r="R852" t="s">
        <v>50</v>
      </c>
      <c r="S852" t="s">
        <v>41</v>
      </c>
      <c r="T852">
        <v>4.7</v>
      </c>
    </row>
    <row r="853" spans="1:20">
      <c r="A853" t="s">
        <v>921</v>
      </c>
      <c r="B853" s="3">
        <v>45913</v>
      </c>
      <c r="C853" t="s">
        <v>21</v>
      </c>
      <c r="D853" t="s">
        <v>26</v>
      </c>
      <c r="E853" t="s">
        <v>68</v>
      </c>
      <c r="F853" t="s">
        <v>20</v>
      </c>
      <c r="G853" t="s">
        <v>34</v>
      </c>
      <c r="H853">
        <v>27</v>
      </c>
      <c r="I853">
        <v>344.63</v>
      </c>
      <c r="J853">
        <v>142.16</v>
      </c>
      <c r="K853">
        <f t="shared" si="78"/>
        <v>9305.01</v>
      </c>
      <c r="L853">
        <v>0.15</v>
      </c>
      <c r="M853">
        <f t="shared" si="79"/>
        <v>1395.7515000000001</v>
      </c>
      <c r="N853">
        <f t="shared" si="80"/>
        <v>7909.2584999999999</v>
      </c>
      <c r="O853">
        <f t="shared" si="81"/>
        <v>3838.3199999999997</v>
      </c>
      <c r="P853">
        <f t="shared" si="82"/>
        <v>4070.9385000000002</v>
      </c>
      <c r="Q853">
        <f t="shared" si="83"/>
        <v>51.470545563784519</v>
      </c>
      <c r="R853" t="s">
        <v>49</v>
      </c>
      <c r="S853" t="s">
        <v>41</v>
      </c>
      <c r="T853">
        <v>4.0999999999999996</v>
      </c>
    </row>
    <row r="854" spans="1:20">
      <c r="A854" t="s">
        <v>922</v>
      </c>
      <c r="B854" s="3">
        <v>45914</v>
      </c>
      <c r="C854" t="s">
        <v>21</v>
      </c>
      <c r="D854" t="s">
        <v>28</v>
      </c>
      <c r="E854" t="s">
        <v>70</v>
      </c>
      <c r="F854" t="s">
        <v>23</v>
      </c>
      <c r="G854" t="s">
        <v>37</v>
      </c>
      <c r="H854">
        <v>7</v>
      </c>
      <c r="I854">
        <v>432.02</v>
      </c>
      <c r="J854">
        <v>353.61</v>
      </c>
      <c r="K854">
        <f t="shared" si="78"/>
        <v>3024.14</v>
      </c>
      <c r="L854">
        <v>0.2</v>
      </c>
      <c r="M854">
        <f t="shared" si="79"/>
        <v>604.82799999999997</v>
      </c>
      <c r="N854">
        <f t="shared" si="80"/>
        <v>2419.3119999999999</v>
      </c>
      <c r="O854">
        <f t="shared" si="81"/>
        <v>2475.27</v>
      </c>
      <c r="P854">
        <f t="shared" si="82"/>
        <v>-55.958000000000084</v>
      </c>
      <c r="Q854">
        <f t="shared" si="83"/>
        <v>-2.3129716216841847</v>
      </c>
      <c r="R854" t="s">
        <v>49</v>
      </c>
      <c r="S854" t="s">
        <v>43</v>
      </c>
      <c r="T854">
        <v>4.5999999999999996</v>
      </c>
    </row>
    <row r="855" spans="1:20">
      <c r="A855" t="s">
        <v>923</v>
      </c>
      <c r="B855" s="3">
        <v>45915</v>
      </c>
      <c r="C855" t="s">
        <v>21</v>
      </c>
      <c r="D855" t="s">
        <v>26</v>
      </c>
      <c r="E855" t="s">
        <v>68</v>
      </c>
      <c r="F855" t="s">
        <v>22</v>
      </c>
      <c r="G855" t="s">
        <v>33</v>
      </c>
      <c r="H855">
        <v>39</v>
      </c>
      <c r="I855">
        <v>1416.01</v>
      </c>
      <c r="J855">
        <v>878.48</v>
      </c>
      <c r="K855">
        <f t="shared" si="78"/>
        <v>55224.39</v>
      </c>
      <c r="L855">
        <v>0.15</v>
      </c>
      <c r="M855">
        <f t="shared" si="79"/>
        <v>8283.6584999999995</v>
      </c>
      <c r="N855">
        <f t="shared" si="80"/>
        <v>46940.731500000002</v>
      </c>
      <c r="O855">
        <f t="shared" si="81"/>
        <v>34260.720000000001</v>
      </c>
      <c r="P855">
        <f t="shared" si="82"/>
        <v>12680.011500000001</v>
      </c>
      <c r="Q855">
        <f t="shared" si="83"/>
        <v>27.012811890245043</v>
      </c>
      <c r="R855" t="s">
        <v>51</v>
      </c>
      <c r="S855" t="s">
        <v>47</v>
      </c>
      <c r="T855">
        <v>4.3</v>
      </c>
    </row>
    <row r="856" spans="1:20">
      <c r="A856" t="s">
        <v>924</v>
      </c>
      <c r="B856" s="3">
        <v>45915</v>
      </c>
      <c r="C856" t="s">
        <v>21</v>
      </c>
      <c r="D856" t="s">
        <v>26</v>
      </c>
      <c r="E856" t="s">
        <v>70</v>
      </c>
      <c r="F856" t="s">
        <v>24</v>
      </c>
      <c r="G856" t="s">
        <v>46</v>
      </c>
      <c r="H856">
        <v>31</v>
      </c>
      <c r="I856">
        <v>723.17</v>
      </c>
      <c r="J856">
        <v>476.55</v>
      </c>
      <c r="K856">
        <f t="shared" si="78"/>
        <v>22418.27</v>
      </c>
      <c r="L856">
        <v>0.2</v>
      </c>
      <c r="M856">
        <f t="shared" si="79"/>
        <v>4483.6540000000005</v>
      </c>
      <c r="N856">
        <f t="shared" si="80"/>
        <v>17934.616000000002</v>
      </c>
      <c r="O856">
        <f t="shared" si="81"/>
        <v>14773.050000000001</v>
      </c>
      <c r="P856">
        <f t="shared" si="82"/>
        <v>3161.5660000000007</v>
      </c>
      <c r="Q856">
        <f t="shared" si="83"/>
        <v>17.628289337223617</v>
      </c>
      <c r="R856" t="s">
        <v>49</v>
      </c>
      <c r="S856" t="s">
        <v>43</v>
      </c>
      <c r="T856">
        <v>4.8</v>
      </c>
    </row>
    <row r="857" spans="1:20">
      <c r="A857" t="s">
        <v>925</v>
      </c>
      <c r="B857" s="3">
        <v>45915</v>
      </c>
      <c r="C857" t="s">
        <v>21</v>
      </c>
      <c r="D857" t="s">
        <v>26</v>
      </c>
      <c r="E857" t="s">
        <v>68</v>
      </c>
      <c r="F857" t="s">
        <v>23</v>
      </c>
      <c r="G857" t="s">
        <v>37</v>
      </c>
      <c r="H857">
        <v>13</v>
      </c>
      <c r="I857">
        <v>451</v>
      </c>
      <c r="J857">
        <v>370.45</v>
      </c>
      <c r="K857">
        <f t="shared" si="78"/>
        <v>5863</v>
      </c>
      <c r="L857">
        <v>0</v>
      </c>
      <c r="M857">
        <f t="shared" si="79"/>
        <v>0</v>
      </c>
      <c r="N857">
        <f t="shared" si="80"/>
        <v>5863</v>
      </c>
      <c r="O857">
        <f t="shared" si="81"/>
        <v>4815.8499999999995</v>
      </c>
      <c r="P857">
        <f t="shared" si="82"/>
        <v>1047.1500000000005</v>
      </c>
      <c r="Q857">
        <f t="shared" si="83"/>
        <v>17.860310421286041</v>
      </c>
      <c r="R857" t="s">
        <v>50</v>
      </c>
      <c r="S857" t="s">
        <v>41</v>
      </c>
      <c r="T857">
        <v>3.8</v>
      </c>
    </row>
    <row r="858" spans="1:20">
      <c r="A858" t="s">
        <v>926</v>
      </c>
      <c r="B858" s="3">
        <v>45916</v>
      </c>
      <c r="C858" t="s">
        <v>21</v>
      </c>
      <c r="D858" t="s">
        <v>30</v>
      </c>
      <c r="E858" t="s">
        <v>68</v>
      </c>
      <c r="F858" t="s">
        <v>22</v>
      </c>
      <c r="G858" t="s">
        <v>42</v>
      </c>
      <c r="H858">
        <v>49</v>
      </c>
      <c r="I858">
        <v>814.83</v>
      </c>
      <c r="J858">
        <v>645.91</v>
      </c>
      <c r="K858">
        <f t="shared" si="78"/>
        <v>39926.670000000006</v>
      </c>
      <c r="L858">
        <v>0.15</v>
      </c>
      <c r="M858">
        <f t="shared" si="79"/>
        <v>5989.000500000001</v>
      </c>
      <c r="N858">
        <f t="shared" si="80"/>
        <v>33937.669500000004</v>
      </c>
      <c r="O858">
        <f t="shared" si="81"/>
        <v>31649.59</v>
      </c>
      <c r="P858">
        <f t="shared" si="82"/>
        <v>2288.0795000000035</v>
      </c>
      <c r="Q858">
        <f t="shared" si="83"/>
        <v>6.7420053695790845</v>
      </c>
      <c r="R858" t="s">
        <v>49</v>
      </c>
      <c r="S858" t="s">
        <v>41</v>
      </c>
      <c r="T858">
        <v>4.4000000000000004</v>
      </c>
    </row>
    <row r="859" spans="1:20">
      <c r="A859" t="s">
        <v>927</v>
      </c>
      <c r="B859" s="3">
        <v>45916</v>
      </c>
      <c r="C859" t="s">
        <v>21</v>
      </c>
      <c r="D859" t="s">
        <v>30</v>
      </c>
      <c r="E859" t="s">
        <v>86</v>
      </c>
      <c r="F859" t="s">
        <v>24</v>
      </c>
      <c r="G859" t="s">
        <v>40</v>
      </c>
      <c r="H859">
        <v>31</v>
      </c>
      <c r="I859">
        <v>773.63</v>
      </c>
      <c r="J859">
        <v>468.5</v>
      </c>
      <c r="K859">
        <f t="shared" si="78"/>
        <v>23982.53</v>
      </c>
      <c r="L859">
        <v>0.05</v>
      </c>
      <c r="M859">
        <f t="shared" si="79"/>
        <v>1199.1265000000001</v>
      </c>
      <c r="N859">
        <f t="shared" si="80"/>
        <v>22783.4035</v>
      </c>
      <c r="O859">
        <f t="shared" si="81"/>
        <v>14523.5</v>
      </c>
      <c r="P859">
        <f t="shared" si="82"/>
        <v>8259.9035000000003</v>
      </c>
      <c r="Q859">
        <f t="shared" si="83"/>
        <v>36.254036847479796</v>
      </c>
      <c r="R859" t="s">
        <v>49</v>
      </c>
      <c r="S859" t="s">
        <v>43</v>
      </c>
      <c r="T859">
        <v>3.9</v>
      </c>
    </row>
    <row r="860" spans="1:20">
      <c r="A860" t="s">
        <v>928</v>
      </c>
      <c r="B860" s="3">
        <v>45916</v>
      </c>
      <c r="C860" t="s">
        <v>21</v>
      </c>
      <c r="D860" t="s">
        <v>30</v>
      </c>
      <c r="E860" t="s">
        <v>86</v>
      </c>
      <c r="F860" t="s">
        <v>22</v>
      </c>
      <c r="G860" t="s">
        <v>35</v>
      </c>
      <c r="H860">
        <v>9</v>
      </c>
      <c r="I860">
        <v>877.84</v>
      </c>
      <c r="J860">
        <v>603.1</v>
      </c>
      <c r="K860">
        <f t="shared" si="78"/>
        <v>7900.56</v>
      </c>
      <c r="L860">
        <v>0.15</v>
      </c>
      <c r="M860">
        <f t="shared" si="79"/>
        <v>1185.0840000000001</v>
      </c>
      <c r="N860">
        <f t="shared" si="80"/>
        <v>6715.4760000000006</v>
      </c>
      <c r="O860">
        <f t="shared" si="81"/>
        <v>5427.9000000000005</v>
      </c>
      <c r="P860">
        <f t="shared" si="82"/>
        <v>1287.576</v>
      </c>
      <c r="Q860">
        <f t="shared" si="83"/>
        <v>19.173264858663778</v>
      </c>
      <c r="R860" t="s">
        <v>49</v>
      </c>
      <c r="S860" t="s">
        <v>41</v>
      </c>
      <c r="T860">
        <v>4.3</v>
      </c>
    </row>
    <row r="861" spans="1:20">
      <c r="A861" t="s">
        <v>929</v>
      </c>
      <c r="B861" s="3">
        <v>45916</v>
      </c>
      <c r="C861" t="s">
        <v>21</v>
      </c>
      <c r="D861" t="s">
        <v>30</v>
      </c>
      <c r="E861" t="s">
        <v>86</v>
      </c>
      <c r="F861" t="s">
        <v>24</v>
      </c>
      <c r="G861" t="s">
        <v>46</v>
      </c>
      <c r="H861">
        <v>25</v>
      </c>
      <c r="I861">
        <v>812.72</v>
      </c>
      <c r="J861">
        <v>558.22</v>
      </c>
      <c r="K861">
        <f t="shared" si="78"/>
        <v>20318</v>
      </c>
      <c r="L861">
        <v>0.1</v>
      </c>
      <c r="M861">
        <f t="shared" si="79"/>
        <v>2031.8000000000002</v>
      </c>
      <c r="N861">
        <f t="shared" si="80"/>
        <v>18286.2</v>
      </c>
      <c r="O861">
        <f t="shared" si="81"/>
        <v>13955.5</v>
      </c>
      <c r="P861">
        <f t="shared" si="82"/>
        <v>4330.7000000000007</v>
      </c>
      <c r="Q861">
        <f t="shared" si="83"/>
        <v>23.682886548326064</v>
      </c>
      <c r="R861" t="s">
        <v>49</v>
      </c>
      <c r="S861" t="s">
        <v>45</v>
      </c>
      <c r="T861">
        <v>4</v>
      </c>
    </row>
    <row r="862" spans="1:20">
      <c r="A862" t="s">
        <v>930</v>
      </c>
      <c r="B862" s="3">
        <v>45917</v>
      </c>
      <c r="C862" t="s">
        <v>21</v>
      </c>
      <c r="D862" t="s">
        <v>26</v>
      </c>
      <c r="E862" t="s">
        <v>70</v>
      </c>
      <c r="F862" t="s">
        <v>23</v>
      </c>
      <c r="G862" t="s">
        <v>37</v>
      </c>
      <c r="H862">
        <v>10</v>
      </c>
      <c r="I862">
        <v>1296.93</v>
      </c>
      <c r="J862">
        <v>951.52</v>
      </c>
      <c r="K862">
        <f t="shared" si="78"/>
        <v>12969.300000000001</v>
      </c>
      <c r="L862">
        <v>0.15</v>
      </c>
      <c r="M862">
        <f t="shared" si="79"/>
        <v>1945.395</v>
      </c>
      <c r="N862">
        <f t="shared" si="80"/>
        <v>11023.905000000001</v>
      </c>
      <c r="O862">
        <f t="shared" si="81"/>
        <v>9515.2000000000007</v>
      </c>
      <c r="P862">
        <f t="shared" si="82"/>
        <v>1508.7049999999999</v>
      </c>
      <c r="Q862">
        <f t="shared" si="83"/>
        <v>13.685758358766698</v>
      </c>
      <c r="R862" t="s">
        <v>51</v>
      </c>
      <c r="S862" t="s">
        <v>45</v>
      </c>
      <c r="T862">
        <v>4.0999999999999996</v>
      </c>
    </row>
    <row r="863" spans="1:20">
      <c r="A863" t="s">
        <v>931</v>
      </c>
      <c r="B863" s="3">
        <v>45917</v>
      </c>
      <c r="C863" t="s">
        <v>21</v>
      </c>
      <c r="D863" t="s">
        <v>32</v>
      </c>
      <c r="E863" t="s">
        <v>70</v>
      </c>
      <c r="F863" t="s">
        <v>20</v>
      </c>
      <c r="G863" t="s">
        <v>31</v>
      </c>
      <c r="H863">
        <v>17</v>
      </c>
      <c r="I863">
        <v>1254.48</v>
      </c>
      <c r="J863">
        <v>610.53</v>
      </c>
      <c r="K863">
        <f t="shared" si="78"/>
        <v>21326.16</v>
      </c>
      <c r="L863">
        <v>0.1</v>
      </c>
      <c r="M863">
        <f t="shared" si="79"/>
        <v>2132.616</v>
      </c>
      <c r="N863">
        <f t="shared" si="80"/>
        <v>19193.544000000002</v>
      </c>
      <c r="O863">
        <f t="shared" si="81"/>
        <v>10379.01</v>
      </c>
      <c r="P863">
        <f t="shared" si="82"/>
        <v>8814.5340000000015</v>
      </c>
      <c r="Q863">
        <f t="shared" si="83"/>
        <v>45.924473354165343</v>
      </c>
      <c r="R863" t="s">
        <v>49</v>
      </c>
      <c r="S863" t="s">
        <v>43</v>
      </c>
      <c r="T863">
        <v>5</v>
      </c>
    </row>
    <row r="864" spans="1:20">
      <c r="A864" t="s">
        <v>932</v>
      </c>
      <c r="B864" s="3">
        <v>45918</v>
      </c>
      <c r="C864" t="s">
        <v>21</v>
      </c>
      <c r="D864" t="s">
        <v>30</v>
      </c>
      <c r="E864" t="s">
        <v>68</v>
      </c>
      <c r="F864" t="s">
        <v>20</v>
      </c>
      <c r="G864" t="s">
        <v>31</v>
      </c>
      <c r="H864">
        <v>25</v>
      </c>
      <c r="I864">
        <v>602.71</v>
      </c>
      <c r="J864">
        <v>282.61</v>
      </c>
      <c r="K864">
        <f t="shared" si="78"/>
        <v>15067.75</v>
      </c>
      <c r="L864">
        <v>0</v>
      </c>
      <c r="M864">
        <f t="shared" si="79"/>
        <v>0</v>
      </c>
      <c r="N864">
        <f t="shared" si="80"/>
        <v>15067.75</v>
      </c>
      <c r="O864">
        <f t="shared" si="81"/>
        <v>7065.25</v>
      </c>
      <c r="P864">
        <f t="shared" si="82"/>
        <v>8002.5</v>
      </c>
      <c r="Q864">
        <f t="shared" si="83"/>
        <v>53.110119294519755</v>
      </c>
      <c r="R864" t="s">
        <v>51</v>
      </c>
      <c r="S864" t="s">
        <v>41</v>
      </c>
      <c r="T864">
        <v>4.7</v>
      </c>
    </row>
    <row r="865" spans="1:20">
      <c r="A865" t="s">
        <v>933</v>
      </c>
      <c r="B865" s="3">
        <v>45918</v>
      </c>
      <c r="C865" t="s">
        <v>21</v>
      </c>
      <c r="D865" t="s">
        <v>26</v>
      </c>
      <c r="E865" t="s">
        <v>68</v>
      </c>
      <c r="F865" t="s">
        <v>22</v>
      </c>
      <c r="G865" t="s">
        <v>35</v>
      </c>
      <c r="H865">
        <v>18</v>
      </c>
      <c r="I865">
        <v>673.44</v>
      </c>
      <c r="J865">
        <v>479.39</v>
      </c>
      <c r="K865">
        <f t="shared" si="78"/>
        <v>12121.920000000002</v>
      </c>
      <c r="L865">
        <v>0.05</v>
      </c>
      <c r="M865">
        <f t="shared" si="79"/>
        <v>606.09600000000012</v>
      </c>
      <c r="N865">
        <f t="shared" si="80"/>
        <v>11515.824000000002</v>
      </c>
      <c r="O865">
        <f t="shared" si="81"/>
        <v>8629.02</v>
      </c>
      <c r="P865">
        <f t="shared" si="82"/>
        <v>2886.8040000000019</v>
      </c>
      <c r="Q865">
        <f t="shared" si="83"/>
        <v>25.068149704267807</v>
      </c>
      <c r="R865" t="s">
        <v>50</v>
      </c>
      <c r="S865" t="s">
        <v>41</v>
      </c>
      <c r="T865">
        <v>4.5999999999999996</v>
      </c>
    </row>
    <row r="866" spans="1:20">
      <c r="A866" t="s">
        <v>934</v>
      </c>
      <c r="B866" s="3">
        <v>45919</v>
      </c>
      <c r="C866" t="s">
        <v>21</v>
      </c>
      <c r="D866" t="s">
        <v>26</v>
      </c>
      <c r="E866" t="s">
        <v>68</v>
      </c>
      <c r="F866" t="s">
        <v>20</v>
      </c>
      <c r="G866" t="s">
        <v>34</v>
      </c>
      <c r="H866">
        <v>7</v>
      </c>
      <c r="I866">
        <v>451.15</v>
      </c>
      <c r="J866">
        <v>225.49</v>
      </c>
      <c r="K866">
        <f t="shared" si="78"/>
        <v>3158.0499999999997</v>
      </c>
      <c r="L866">
        <v>0.25</v>
      </c>
      <c r="M866">
        <f t="shared" si="79"/>
        <v>789.51249999999993</v>
      </c>
      <c r="N866">
        <f t="shared" si="80"/>
        <v>2368.5374999999999</v>
      </c>
      <c r="O866">
        <f t="shared" si="81"/>
        <v>1578.43</v>
      </c>
      <c r="P866">
        <f t="shared" si="82"/>
        <v>790.10749999999985</v>
      </c>
      <c r="Q866">
        <f t="shared" si="83"/>
        <v>33.358454320440352</v>
      </c>
      <c r="R866" t="s">
        <v>49</v>
      </c>
      <c r="S866" t="s">
        <v>41</v>
      </c>
      <c r="T866">
        <v>4.8</v>
      </c>
    </row>
    <row r="867" spans="1:20">
      <c r="A867" t="s">
        <v>935</v>
      </c>
      <c r="B867" s="3">
        <v>45920</v>
      </c>
      <c r="C867" t="s">
        <v>21</v>
      </c>
      <c r="D867" t="s">
        <v>26</v>
      </c>
      <c r="E867" t="s">
        <v>70</v>
      </c>
      <c r="F867" t="s">
        <v>23</v>
      </c>
      <c r="G867" t="s">
        <v>38</v>
      </c>
      <c r="H867">
        <v>6</v>
      </c>
      <c r="I867">
        <v>612.34</v>
      </c>
      <c r="J867">
        <v>469.09</v>
      </c>
      <c r="K867">
        <f t="shared" si="78"/>
        <v>3674.04</v>
      </c>
      <c r="L867">
        <v>0.2</v>
      </c>
      <c r="M867">
        <f t="shared" si="79"/>
        <v>734.80799999999999</v>
      </c>
      <c r="N867">
        <f t="shared" si="80"/>
        <v>2939.232</v>
      </c>
      <c r="O867">
        <f t="shared" si="81"/>
        <v>2814.54</v>
      </c>
      <c r="P867">
        <f t="shared" si="82"/>
        <v>124.69200000000001</v>
      </c>
      <c r="Q867">
        <f t="shared" si="83"/>
        <v>4.2423326909886674</v>
      </c>
      <c r="R867" t="s">
        <v>50</v>
      </c>
      <c r="S867" t="s">
        <v>41</v>
      </c>
      <c r="T867">
        <v>3.5</v>
      </c>
    </row>
    <row r="868" spans="1:20">
      <c r="A868" t="s">
        <v>936</v>
      </c>
      <c r="B868" s="3">
        <v>45921</v>
      </c>
      <c r="C868" t="s">
        <v>21</v>
      </c>
      <c r="D868" t="s">
        <v>26</v>
      </c>
      <c r="E868" t="s">
        <v>68</v>
      </c>
      <c r="F868" t="s">
        <v>23</v>
      </c>
      <c r="G868" t="s">
        <v>38</v>
      </c>
      <c r="H868">
        <v>37</v>
      </c>
      <c r="I868">
        <v>1130.1199999999999</v>
      </c>
      <c r="J868">
        <v>934.29</v>
      </c>
      <c r="K868">
        <f t="shared" si="78"/>
        <v>41814.439999999995</v>
      </c>
      <c r="L868">
        <v>0</v>
      </c>
      <c r="M868">
        <f t="shared" si="79"/>
        <v>0</v>
      </c>
      <c r="N868">
        <f t="shared" si="80"/>
        <v>41814.439999999995</v>
      </c>
      <c r="O868">
        <f t="shared" si="81"/>
        <v>34568.729999999996</v>
      </c>
      <c r="P868">
        <f t="shared" si="82"/>
        <v>7245.7099999999991</v>
      </c>
      <c r="Q868">
        <f t="shared" si="83"/>
        <v>17.328248327611227</v>
      </c>
      <c r="R868" t="s">
        <v>50</v>
      </c>
      <c r="S868" t="s">
        <v>41</v>
      </c>
      <c r="T868">
        <v>3.4</v>
      </c>
    </row>
    <row r="869" spans="1:20">
      <c r="A869" t="s">
        <v>937</v>
      </c>
      <c r="B869" s="3">
        <v>45921</v>
      </c>
      <c r="C869" t="s">
        <v>21</v>
      </c>
      <c r="D869" t="s">
        <v>26</v>
      </c>
      <c r="E869" t="s">
        <v>68</v>
      </c>
      <c r="F869" t="s">
        <v>20</v>
      </c>
      <c r="G869" t="s">
        <v>34</v>
      </c>
      <c r="H869">
        <v>24</v>
      </c>
      <c r="I869">
        <v>298.58</v>
      </c>
      <c r="J869">
        <v>165.57</v>
      </c>
      <c r="K869">
        <f t="shared" si="78"/>
        <v>7165.92</v>
      </c>
      <c r="L869">
        <v>0</v>
      </c>
      <c r="M869">
        <f t="shared" si="79"/>
        <v>0</v>
      </c>
      <c r="N869">
        <f t="shared" si="80"/>
        <v>7165.92</v>
      </c>
      <c r="O869">
        <f t="shared" si="81"/>
        <v>3973.68</v>
      </c>
      <c r="P869">
        <f t="shared" si="82"/>
        <v>3192.2400000000002</v>
      </c>
      <c r="Q869">
        <f t="shared" si="83"/>
        <v>44.547524951436799</v>
      </c>
      <c r="R869" t="s">
        <v>50</v>
      </c>
      <c r="S869" t="s">
        <v>43</v>
      </c>
      <c r="T869">
        <v>4.5</v>
      </c>
    </row>
    <row r="870" spans="1:20">
      <c r="A870" t="s">
        <v>938</v>
      </c>
      <c r="B870" s="3">
        <v>45923</v>
      </c>
      <c r="C870" t="s">
        <v>21</v>
      </c>
      <c r="D870" t="s">
        <v>26</v>
      </c>
      <c r="E870" t="s">
        <v>68</v>
      </c>
      <c r="F870" t="s">
        <v>23</v>
      </c>
      <c r="G870" t="s">
        <v>44</v>
      </c>
      <c r="H870">
        <v>6</v>
      </c>
      <c r="I870">
        <v>918.48</v>
      </c>
      <c r="J870">
        <v>661.98</v>
      </c>
      <c r="K870">
        <f t="shared" si="78"/>
        <v>5510.88</v>
      </c>
      <c r="L870">
        <v>0</v>
      </c>
      <c r="M870">
        <f t="shared" si="79"/>
        <v>0</v>
      </c>
      <c r="N870">
        <f t="shared" si="80"/>
        <v>5510.88</v>
      </c>
      <c r="O870">
        <f t="shared" si="81"/>
        <v>3971.88</v>
      </c>
      <c r="P870">
        <f t="shared" si="82"/>
        <v>1539</v>
      </c>
      <c r="Q870">
        <f t="shared" si="83"/>
        <v>27.926574340214266</v>
      </c>
      <c r="R870" t="s">
        <v>49</v>
      </c>
      <c r="S870" t="s">
        <v>43</v>
      </c>
      <c r="T870">
        <v>3.6</v>
      </c>
    </row>
    <row r="871" spans="1:20">
      <c r="A871" t="s">
        <v>939</v>
      </c>
      <c r="B871" s="3">
        <v>45923</v>
      </c>
      <c r="C871" t="s">
        <v>21</v>
      </c>
      <c r="D871" t="s">
        <v>32</v>
      </c>
      <c r="E871" t="s">
        <v>70</v>
      </c>
      <c r="F871" t="s">
        <v>22</v>
      </c>
      <c r="G871" t="s">
        <v>42</v>
      </c>
      <c r="H871">
        <v>21</v>
      </c>
      <c r="I871">
        <v>976.43</v>
      </c>
      <c r="J871">
        <v>596.38</v>
      </c>
      <c r="K871">
        <f t="shared" si="78"/>
        <v>20505.03</v>
      </c>
      <c r="L871">
        <v>0.1</v>
      </c>
      <c r="M871">
        <f t="shared" si="79"/>
        <v>2050.5030000000002</v>
      </c>
      <c r="N871">
        <f t="shared" si="80"/>
        <v>18454.526999999998</v>
      </c>
      <c r="O871">
        <f t="shared" si="81"/>
        <v>12523.98</v>
      </c>
      <c r="P871">
        <f t="shared" si="82"/>
        <v>5930.5469999999987</v>
      </c>
      <c r="Q871">
        <f t="shared" si="83"/>
        <v>32.136001101518339</v>
      </c>
      <c r="R871" t="s">
        <v>49</v>
      </c>
      <c r="S871" t="s">
        <v>41</v>
      </c>
      <c r="T871">
        <v>3.1</v>
      </c>
    </row>
    <row r="872" spans="1:20">
      <c r="A872" t="s">
        <v>940</v>
      </c>
      <c r="B872" s="3">
        <v>45923</v>
      </c>
      <c r="C872" t="s">
        <v>21</v>
      </c>
      <c r="D872" t="s">
        <v>30</v>
      </c>
      <c r="E872" t="s">
        <v>68</v>
      </c>
      <c r="F872" t="s">
        <v>24</v>
      </c>
      <c r="G872" t="s">
        <v>46</v>
      </c>
      <c r="H872">
        <v>3</v>
      </c>
      <c r="I872">
        <v>889.67</v>
      </c>
      <c r="J872">
        <v>556.34</v>
      </c>
      <c r="K872">
        <f t="shared" si="78"/>
        <v>2669.0099999999998</v>
      </c>
      <c r="L872">
        <v>0.15</v>
      </c>
      <c r="M872">
        <f t="shared" si="79"/>
        <v>400.35149999999993</v>
      </c>
      <c r="N872">
        <f t="shared" si="80"/>
        <v>2268.6585</v>
      </c>
      <c r="O872">
        <f t="shared" si="81"/>
        <v>1669.02</v>
      </c>
      <c r="P872">
        <f t="shared" si="82"/>
        <v>599.63850000000002</v>
      </c>
      <c r="Q872">
        <f t="shared" si="83"/>
        <v>26.431413101619306</v>
      </c>
      <c r="R872" t="s">
        <v>51</v>
      </c>
      <c r="S872" t="s">
        <v>41</v>
      </c>
      <c r="T872">
        <v>3.5</v>
      </c>
    </row>
    <row r="873" spans="1:20">
      <c r="A873" t="s">
        <v>941</v>
      </c>
      <c r="B873" s="3">
        <v>45923</v>
      </c>
      <c r="C873" t="s">
        <v>21</v>
      </c>
      <c r="D873" t="s">
        <v>30</v>
      </c>
      <c r="E873" t="s">
        <v>68</v>
      </c>
      <c r="F873" t="s">
        <v>22</v>
      </c>
      <c r="G873" t="s">
        <v>33</v>
      </c>
      <c r="H873">
        <v>43</v>
      </c>
      <c r="I873">
        <v>996.3</v>
      </c>
      <c r="J873">
        <v>743.09</v>
      </c>
      <c r="K873">
        <f t="shared" si="78"/>
        <v>42840.9</v>
      </c>
      <c r="L873">
        <v>0</v>
      </c>
      <c r="M873">
        <f t="shared" si="79"/>
        <v>0</v>
      </c>
      <c r="N873">
        <f t="shared" si="80"/>
        <v>42840.9</v>
      </c>
      <c r="O873">
        <f t="shared" si="81"/>
        <v>31952.870000000003</v>
      </c>
      <c r="P873">
        <f t="shared" si="82"/>
        <v>10888.029999999999</v>
      </c>
      <c r="Q873">
        <f t="shared" si="83"/>
        <v>25.415035631837796</v>
      </c>
      <c r="R873" t="s">
        <v>51</v>
      </c>
      <c r="S873" t="s">
        <v>41</v>
      </c>
      <c r="T873">
        <v>3.5</v>
      </c>
    </row>
    <row r="874" spans="1:20">
      <c r="A874" t="s">
        <v>942</v>
      </c>
      <c r="B874" s="3">
        <v>45923</v>
      </c>
      <c r="C874" t="s">
        <v>21</v>
      </c>
      <c r="D874" t="s">
        <v>30</v>
      </c>
      <c r="E874" t="s">
        <v>68</v>
      </c>
      <c r="F874" t="s">
        <v>22</v>
      </c>
      <c r="G874" t="s">
        <v>35</v>
      </c>
      <c r="H874">
        <v>47</v>
      </c>
      <c r="I874">
        <v>580.13</v>
      </c>
      <c r="J874">
        <v>389.38</v>
      </c>
      <c r="K874">
        <f t="shared" si="78"/>
        <v>27266.11</v>
      </c>
      <c r="L874">
        <v>0.05</v>
      </c>
      <c r="M874">
        <f t="shared" si="79"/>
        <v>1363.3055000000002</v>
      </c>
      <c r="N874">
        <f t="shared" si="80"/>
        <v>25902.804500000002</v>
      </c>
      <c r="O874">
        <f t="shared" si="81"/>
        <v>18300.86</v>
      </c>
      <c r="P874">
        <f t="shared" si="82"/>
        <v>7601.9445000000014</v>
      </c>
      <c r="Q874">
        <f t="shared" si="83"/>
        <v>29.347959214223312</v>
      </c>
      <c r="R874" t="s">
        <v>51</v>
      </c>
      <c r="S874" t="s">
        <v>41</v>
      </c>
      <c r="T874">
        <v>3.5</v>
      </c>
    </row>
    <row r="875" spans="1:20">
      <c r="A875" t="s">
        <v>943</v>
      </c>
      <c r="B875" s="3">
        <v>45924</v>
      </c>
      <c r="C875" t="s">
        <v>21</v>
      </c>
      <c r="D875" t="s">
        <v>30</v>
      </c>
      <c r="E875" t="s">
        <v>68</v>
      </c>
      <c r="F875" t="s">
        <v>20</v>
      </c>
      <c r="G875" t="s">
        <v>36</v>
      </c>
      <c r="H875">
        <v>45</v>
      </c>
      <c r="I875">
        <v>212.33</v>
      </c>
      <c r="J875">
        <v>105.7</v>
      </c>
      <c r="K875">
        <f t="shared" si="78"/>
        <v>9554.85</v>
      </c>
      <c r="L875">
        <v>0.15</v>
      </c>
      <c r="M875">
        <f t="shared" si="79"/>
        <v>1433.2275</v>
      </c>
      <c r="N875">
        <f t="shared" si="80"/>
        <v>8121.6225000000004</v>
      </c>
      <c r="O875">
        <f t="shared" si="81"/>
        <v>4756.5</v>
      </c>
      <c r="P875">
        <f t="shared" si="82"/>
        <v>3365.1225000000004</v>
      </c>
      <c r="Q875">
        <f t="shared" si="83"/>
        <v>41.434116151052329</v>
      </c>
      <c r="R875" t="s">
        <v>49</v>
      </c>
      <c r="S875" t="s">
        <v>45</v>
      </c>
      <c r="T875">
        <v>3.4</v>
      </c>
    </row>
    <row r="876" spans="1:20">
      <c r="A876" t="s">
        <v>944</v>
      </c>
      <c r="B876" s="3">
        <v>45925</v>
      </c>
      <c r="C876" t="s">
        <v>21</v>
      </c>
      <c r="D876" t="s">
        <v>30</v>
      </c>
      <c r="E876" t="s">
        <v>68</v>
      </c>
      <c r="F876" t="s">
        <v>23</v>
      </c>
      <c r="G876" t="s">
        <v>38</v>
      </c>
      <c r="H876">
        <v>26</v>
      </c>
      <c r="I876">
        <v>859.46</v>
      </c>
      <c r="J876">
        <v>727.27</v>
      </c>
      <c r="K876">
        <f t="shared" si="78"/>
        <v>22345.96</v>
      </c>
      <c r="L876">
        <v>0.1</v>
      </c>
      <c r="M876">
        <f t="shared" si="79"/>
        <v>2234.596</v>
      </c>
      <c r="N876">
        <f t="shared" si="80"/>
        <v>20111.363999999998</v>
      </c>
      <c r="O876">
        <f t="shared" si="81"/>
        <v>18909.02</v>
      </c>
      <c r="P876">
        <f t="shared" si="82"/>
        <v>1202.3439999999973</v>
      </c>
      <c r="Q876">
        <f t="shared" si="83"/>
        <v>5.9784309010567238</v>
      </c>
      <c r="R876" t="s">
        <v>50</v>
      </c>
      <c r="S876" t="s">
        <v>41</v>
      </c>
      <c r="T876">
        <v>4</v>
      </c>
    </row>
    <row r="877" spans="1:20">
      <c r="A877" t="s">
        <v>945</v>
      </c>
      <c r="B877" s="3">
        <v>45926</v>
      </c>
      <c r="C877" t="s">
        <v>21</v>
      </c>
      <c r="D877" t="s">
        <v>32</v>
      </c>
      <c r="E877" t="s">
        <v>70</v>
      </c>
      <c r="F877" t="s">
        <v>22</v>
      </c>
      <c r="G877" t="s">
        <v>35</v>
      </c>
      <c r="H877">
        <v>41</v>
      </c>
      <c r="I877">
        <v>582.89</v>
      </c>
      <c r="J877">
        <v>448.11</v>
      </c>
      <c r="K877">
        <f t="shared" si="78"/>
        <v>23898.489999999998</v>
      </c>
      <c r="L877">
        <v>0.05</v>
      </c>
      <c r="M877">
        <f t="shared" si="79"/>
        <v>1194.9244999999999</v>
      </c>
      <c r="N877">
        <f t="shared" si="80"/>
        <v>22703.565499999997</v>
      </c>
      <c r="O877">
        <f t="shared" si="81"/>
        <v>18372.510000000002</v>
      </c>
      <c r="P877">
        <f t="shared" si="82"/>
        <v>4331.0554999999949</v>
      </c>
      <c r="Q877">
        <f t="shared" si="83"/>
        <v>19.076543285679051</v>
      </c>
      <c r="R877" t="s">
        <v>49</v>
      </c>
      <c r="S877" t="s">
        <v>41</v>
      </c>
      <c r="T877">
        <v>3.7</v>
      </c>
    </row>
    <row r="878" spans="1:20">
      <c r="A878" t="s">
        <v>946</v>
      </c>
      <c r="B878" s="3">
        <v>45927</v>
      </c>
      <c r="C878" t="s">
        <v>21</v>
      </c>
      <c r="D878" t="s">
        <v>30</v>
      </c>
      <c r="E878" t="s">
        <v>70</v>
      </c>
      <c r="F878" t="s">
        <v>22</v>
      </c>
      <c r="G878" t="s">
        <v>35</v>
      </c>
      <c r="H878">
        <v>22</v>
      </c>
      <c r="I878">
        <v>493.27</v>
      </c>
      <c r="J878">
        <v>323.98</v>
      </c>
      <c r="K878">
        <f t="shared" si="78"/>
        <v>10851.939999999999</v>
      </c>
      <c r="L878">
        <v>0.05</v>
      </c>
      <c r="M878">
        <f t="shared" si="79"/>
        <v>542.59699999999998</v>
      </c>
      <c r="N878">
        <f t="shared" si="80"/>
        <v>10309.342999999999</v>
      </c>
      <c r="O878">
        <f t="shared" si="81"/>
        <v>7127.56</v>
      </c>
      <c r="P878">
        <f t="shared" si="82"/>
        <v>3181.7829999999985</v>
      </c>
      <c r="Q878">
        <f t="shared" si="83"/>
        <v>30.863101557490126</v>
      </c>
      <c r="R878" t="s">
        <v>49</v>
      </c>
      <c r="S878" t="s">
        <v>41</v>
      </c>
      <c r="T878">
        <v>3.1</v>
      </c>
    </row>
    <row r="879" spans="1:20">
      <c r="A879" t="s">
        <v>947</v>
      </c>
      <c r="B879" s="3">
        <v>45927</v>
      </c>
      <c r="C879" t="s">
        <v>21</v>
      </c>
      <c r="D879" t="s">
        <v>32</v>
      </c>
      <c r="E879" t="s">
        <v>70</v>
      </c>
      <c r="F879" t="s">
        <v>22</v>
      </c>
      <c r="G879" t="s">
        <v>35</v>
      </c>
      <c r="H879">
        <v>12</v>
      </c>
      <c r="I879">
        <v>965.09</v>
      </c>
      <c r="J879">
        <v>644.89</v>
      </c>
      <c r="K879">
        <f t="shared" si="78"/>
        <v>11581.08</v>
      </c>
      <c r="L879">
        <v>0.05</v>
      </c>
      <c r="M879">
        <f t="shared" si="79"/>
        <v>579.05399999999997</v>
      </c>
      <c r="N879">
        <f t="shared" si="80"/>
        <v>11002.026</v>
      </c>
      <c r="O879">
        <f t="shared" si="81"/>
        <v>7738.68</v>
      </c>
      <c r="P879">
        <f t="shared" si="82"/>
        <v>3263.3459999999995</v>
      </c>
      <c r="Q879">
        <f t="shared" si="83"/>
        <v>29.661318742566138</v>
      </c>
      <c r="R879" t="s">
        <v>49</v>
      </c>
      <c r="S879" t="s">
        <v>47</v>
      </c>
      <c r="T879">
        <v>4.0999999999999996</v>
      </c>
    </row>
    <row r="880" spans="1:20">
      <c r="A880" t="s">
        <v>948</v>
      </c>
      <c r="B880" s="3">
        <v>45928</v>
      </c>
      <c r="C880" t="s">
        <v>21</v>
      </c>
      <c r="D880" t="s">
        <v>30</v>
      </c>
      <c r="E880" t="s">
        <v>68</v>
      </c>
      <c r="F880" t="s">
        <v>22</v>
      </c>
      <c r="G880" t="s">
        <v>42</v>
      </c>
      <c r="H880">
        <v>20</v>
      </c>
      <c r="I880">
        <v>199.71</v>
      </c>
      <c r="J880">
        <v>158.69</v>
      </c>
      <c r="K880">
        <f t="shared" si="78"/>
        <v>3994.2000000000003</v>
      </c>
      <c r="L880">
        <v>0</v>
      </c>
      <c r="M880">
        <f t="shared" si="79"/>
        <v>0</v>
      </c>
      <c r="N880">
        <f t="shared" si="80"/>
        <v>3994.2000000000003</v>
      </c>
      <c r="O880">
        <f t="shared" si="81"/>
        <v>3173.8</v>
      </c>
      <c r="P880">
        <f t="shared" si="82"/>
        <v>820.40000000000009</v>
      </c>
      <c r="Q880">
        <f t="shared" si="83"/>
        <v>20.539782684893098</v>
      </c>
      <c r="R880" t="s">
        <v>50</v>
      </c>
      <c r="S880" t="s">
        <v>43</v>
      </c>
      <c r="T880">
        <v>3.2</v>
      </c>
    </row>
    <row r="881" spans="1:20">
      <c r="A881" t="s">
        <v>949</v>
      </c>
      <c r="B881" s="3">
        <v>45928</v>
      </c>
      <c r="C881" t="s">
        <v>21</v>
      </c>
      <c r="D881" t="s">
        <v>28</v>
      </c>
      <c r="E881" t="s">
        <v>70</v>
      </c>
      <c r="F881" t="s">
        <v>24</v>
      </c>
      <c r="G881" t="s">
        <v>46</v>
      </c>
      <c r="H881">
        <v>19</v>
      </c>
      <c r="I881">
        <v>844.07</v>
      </c>
      <c r="J881">
        <v>553.38</v>
      </c>
      <c r="K881">
        <f t="shared" si="78"/>
        <v>16037.330000000002</v>
      </c>
      <c r="L881">
        <v>0.05</v>
      </c>
      <c r="M881">
        <f t="shared" si="79"/>
        <v>801.86650000000009</v>
      </c>
      <c r="N881">
        <f t="shared" si="80"/>
        <v>15235.463500000002</v>
      </c>
      <c r="O881">
        <f t="shared" si="81"/>
        <v>10514.22</v>
      </c>
      <c r="P881">
        <f t="shared" si="82"/>
        <v>4721.2435000000023</v>
      </c>
      <c r="Q881">
        <f t="shared" si="83"/>
        <v>30.988512426943899</v>
      </c>
      <c r="R881" t="s">
        <v>49</v>
      </c>
      <c r="S881" t="s">
        <v>41</v>
      </c>
      <c r="T881">
        <v>3.5</v>
      </c>
    </row>
    <row r="882" spans="1:20">
      <c r="A882" t="s">
        <v>950</v>
      </c>
      <c r="B882" s="3">
        <v>45933</v>
      </c>
      <c r="C882" t="s">
        <v>21</v>
      </c>
      <c r="D882" t="s">
        <v>30</v>
      </c>
      <c r="E882" t="s">
        <v>68</v>
      </c>
      <c r="F882" t="s">
        <v>22</v>
      </c>
      <c r="G882" t="s">
        <v>35</v>
      </c>
      <c r="H882">
        <v>31</v>
      </c>
      <c r="I882">
        <v>929.21</v>
      </c>
      <c r="J882">
        <v>700.42</v>
      </c>
      <c r="K882">
        <f t="shared" si="78"/>
        <v>28805.510000000002</v>
      </c>
      <c r="L882">
        <v>0.1</v>
      </c>
      <c r="M882">
        <f t="shared" si="79"/>
        <v>2880.5510000000004</v>
      </c>
      <c r="N882">
        <f t="shared" si="80"/>
        <v>25924.959000000003</v>
      </c>
      <c r="O882">
        <f t="shared" si="81"/>
        <v>21713.02</v>
      </c>
      <c r="P882">
        <f t="shared" si="82"/>
        <v>4211.9390000000021</v>
      </c>
      <c r="Q882">
        <f t="shared" si="83"/>
        <v>16.246656359225106</v>
      </c>
      <c r="R882" t="s">
        <v>49</v>
      </c>
      <c r="S882" t="s">
        <v>43</v>
      </c>
      <c r="T882">
        <v>4.4000000000000004</v>
      </c>
    </row>
    <row r="883" spans="1:20">
      <c r="A883" t="s">
        <v>951</v>
      </c>
      <c r="B883" s="3">
        <v>45934</v>
      </c>
      <c r="C883" t="s">
        <v>21</v>
      </c>
      <c r="D883" t="s">
        <v>28</v>
      </c>
      <c r="E883" t="s">
        <v>68</v>
      </c>
      <c r="F883" t="s">
        <v>24</v>
      </c>
      <c r="G883" t="s">
        <v>29</v>
      </c>
      <c r="H883">
        <v>3</v>
      </c>
      <c r="I883">
        <v>958.74</v>
      </c>
      <c r="J883">
        <v>542.28</v>
      </c>
      <c r="K883">
        <f t="shared" si="78"/>
        <v>2876.2200000000003</v>
      </c>
      <c r="L883">
        <v>0.2</v>
      </c>
      <c r="M883">
        <f t="shared" si="79"/>
        <v>575.24400000000003</v>
      </c>
      <c r="N883">
        <f t="shared" si="80"/>
        <v>2300.9760000000001</v>
      </c>
      <c r="O883">
        <f t="shared" si="81"/>
        <v>1626.84</v>
      </c>
      <c r="P883">
        <f t="shared" si="82"/>
        <v>674.13600000000019</v>
      </c>
      <c r="Q883">
        <f t="shared" si="83"/>
        <v>29.297828399774712</v>
      </c>
      <c r="R883" t="s">
        <v>51</v>
      </c>
      <c r="S883" t="s">
        <v>45</v>
      </c>
      <c r="T883">
        <v>4.8</v>
      </c>
    </row>
    <row r="884" spans="1:20">
      <c r="A884" t="s">
        <v>952</v>
      </c>
      <c r="B884" s="3">
        <v>45935</v>
      </c>
      <c r="C884" t="s">
        <v>21</v>
      </c>
      <c r="D884" t="s">
        <v>32</v>
      </c>
      <c r="E884" t="s">
        <v>70</v>
      </c>
      <c r="F884" t="s">
        <v>22</v>
      </c>
      <c r="G884" t="s">
        <v>42</v>
      </c>
      <c r="H884">
        <v>13</v>
      </c>
      <c r="I884">
        <v>548.79999999999995</v>
      </c>
      <c r="J884">
        <v>436.88</v>
      </c>
      <c r="K884">
        <f t="shared" si="78"/>
        <v>7134.4</v>
      </c>
      <c r="L884">
        <v>0.1</v>
      </c>
      <c r="M884">
        <f t="shared" si="79"/>
        <v>713.44</v>
      </c>
      <c r="N884">
        <f t="shared" si="80"/>
        <v>6420.9599999999991</v>
      </c>
      <c r="O884">
        <f t="shared" si="81"/>
        <v>5679.44</v>
      </c>
      <c r="P884">
        <f t="shared" si="82"/>
        <v>741.51999999999953</v>
      </c>
      <c r="Q884">
        <f t="shared" si="83"/>
        <v>11.548428895367666</v>
      </c>
      <c r="R884" t="s">
        <v>49</v>
      </c>
      <c r="S884" t="s">
        <v>47</v>
      </c>
      <c r="T884">
        <v>4.7</v>
      </c>
    </row>
    <row r="885" spans="1:20">
      <c r="A885" t="s">
        <v>953</v>
      </c>
      <c r="B885" s="3">
        <v>45935</v>
      </c>
      <c r="C885" t="s">
        <v>21</v>
      </c>
      <c r="D885" t="s">
        <v>26</v>
      </c>
      <c r="E885" t="s">
        <v>68</v>
      </c>
      <c r="F885" t="s">
        <v>24</v>
      </c>
      <c r="G885" t="s">
        <v>46</v>
      </c>
      <c r="H885">
        <v>14</v>
      </c>
      <c r="I885">
        <v>23.58</v>
      </c>
      <c r="J885">
        <v>16.02</v>
      </c>
      <c r="K885">
        <f t="shared" si="78"/>
        <v>330.12</v>
      </c>
      <c r="L885">
        <v>0.15</v>
      </c>
      <c r="M885">
        <f t="shared" si="79"/>
        <v>49.518000000000001</v>
      </c>
      <c r="N885">
        <f t="shared" si="80"/>
        <v>280.60199999999998</v>
      </c>
      <c r="O885">
        <f t="shared" si="81"/>
        <v>224.28</v>
      </c>
      <c r="P885">
        <f t="shared" si="82"/>
        <v>56.321999999999974</v>
      </c>
      <c r="Q885">
        <f t="shared" si="83"/>
        <v>20.071845532105964</v>
      </c>
      <c r="R885" t="s">
        <v>49</v>
      </c>
      <c r="S885" t="s">
        <v>41</v>
      </c>
      <c r="T885">
        <v>4.0999999999999996</v>
      </c>
    </row>
    <row r="886" spans="1:20">
      <c r="A886" t="s">
        <v>954</v>
      </c>
      <c r="B886" s="3">
        <v>45935</v>
      </c>
      <c r="C886" t="s">
        <v>21</v>
      </c>
      <c r="D886" t="s">
        <v>28</v>
      </c>
      <c r="E886" t="s">
        <v>68</v>
      </c>
      <c r="F886" t="s">
        <v>20</v>
      </c>
      <c r="G886" t="s">
        <v>31</v>
      </c>
      <c r="H886">
        <v>43</v>
      </c>
      <c r="I886">
        <v>1285.72</v>
      </c>
      <c r="J886">
        <v>514.30999999999995</v>
      </c>
      <c r="K886">
        <f t="shared" si="78"/>
        <v>55285.96</v>
      </c>
      <c r="L886">
        <v>0</v>
      </c>
      <c r="M886">
        <f t="shared" si="79"/>
        <v>0</v>
      </c>
      <c r="N886">
        <f t="shared" si="80"/>
        <v>55285.96</v>
      </c>
      <c r="O886">
        <f t="shared" si="81"/>
        <v>22115.329999999998</v>
      </c>
      <c r="P886">
        <f t="shared" si="82"/>
        <v>33170.630000000005</v>
      </c>
      <c r="Q886">
        <f t="shared" si="83"/>
        <v>59.998288896493804</v>
      </c>
      <c r="R886" t="s">
        <v>49</v>
      </c>
      <c r="S886" t="s">
        <v>47</v>
      </c>
      <c r="T886">
        <v>3.6</v>
      </c>
    </row>
    <row r="887" spans="1:20">
      <c r="A887" t="s">
        <v>955</v>
      </c>
      <c r="B887" s="3">
        <v>45935</v>
      </c>
      <c r="C887" t="s">
        <v>21</v>
      </c>
      <c r="D887" t="s">
        <v>26</v>
      </c>
      <c r="E887" t="s">
        <v>86</v>
      </c>
      <c r="F887" t="s">
        <v>22</v>
      </c>
      <c r="G887" t="s">
        <v>42</v>
      </c>
      <c r="H887">
        <v>40</v>
      </c>
      <c r="I887">
        <v>1134.23</v>
      </c>
      <c r="J887">
        <v>866.88</v>
      </c>
      <c r="K887">
        <f t="shared" si="78"/>
        <v>45369.2</v>
      </c>
      <c r="L887">
        <v>0.05</v>
      </c>
      <c r="M887">
        <f t="shared" si="79"/>
        <v>2268.46</v>
      </c>
      <c r="N887">
        <f t="shared" si="80"/>
        <v>43100.74</v>
      </c>
      <c r="O887">
        <f t="shared" si="81"/>
        <v>34675.199999999997</v>
      </c>
      <c r="P887">
        <f t="shared" si="82"/>
        <v>8425.5400000000009</v>
      </c>
      <c r="Q887">
        <f t="shared" si="83"/>
        <v>19.548481070162605</v>
      </c>
      <c r="R887" t="s">
        <v>51</v>
      </c>
      <c r="S887" t="s">
        <v>47</v>
      </c>
      <c r="T887">
        <v>4.8</v>
      </c>
    </row>
    <row r="888" spans="1:20">
      <c r="A888" t="s">
        <v>956</v>
      </c>
      <c r="B888" s="3">
        <v>45936</v>
      </c>
      <c r="C888" t="s">
        <v>21</v>
      </c>
      <c r="D888" t="s">
        <v>28</v>
      </c>
      <c r="E888" t="s">
        <v>68</v>
      </c>
      <c r="F888" t="s">
        <v>20</v>
      </c>
      <c r="G888" t="s">
        <v>34</v>
      </c>
      <c r="H888">
        <v>33</v>
      </c>
      <c r="I888">
        <v>1065.04</v>
      </c>
      <c r="J888">
        <v>465.22</v>
      </c>
      <c r="K888">
        <f t="shared" si="78"/>
        <v>35146.32</v>
      </c>
      <c r="L888">
        <v>0</v>
      </c>
      <c r="M888">
        <f t="shared" si="79"/>
        <v>0</v>
      </c>
      <c r="N888">
        <f t="shared" si="80"/>
        <v>35146.32</v>
      </c>
      <c r="O888">
        <f t="shared" si="81"/>
        <v>15352.26</v>
      </c>
      <c r="P888">
        <f t="shared" si="82"/>
        <v>19794.059999999998</v>
      </c>
      <c r="Q888">
        <f t="shared" si="83"/>
        <v>56.319011492526094</v>
      </c>
      <c r="R888" t="s">
        <v>50</v>
      </c>
      <c r="S888" t="s">
        <v>47</v>
      </c>
      <c r="T888">
        <v>4.5</v>
      </c>
    </row>
    <row r="889" spans="1:20">
      <c r="A889" t="s">
        <v>957</v>
      </c>
      <c r="B889" s="3">
        <v>45936</v>
      </c>
      <c r="C889" t="s">
        <v>21</v>
      </c>
      <c r="D889" t="s">
        <v>32</v>
      </c>
      <c r="E889" t="s">
        <v>70</v>
      </c>
      <c r="F889" t="s">
        <v>23</v>
      </c>
      <c r="G889" t="s">
        <v>37</v>
      </c>
      <c r="H889">
        <v>36</v>
      </c>
      <c r="I889">
        <v>861.41</v>
      </c>
      <c r="J889">
        <v>701.42</v>
      </c>
      <c r="K889">
        <f t="shared" si="78"/>
        <v>31010.76</v>
      </c>
      <c r="L889">
        <v>0</v>
      </c>
      <c r="M889">
        <f t="shared" si="79"/>
        <v>0</v>
      </c>
      <c r="N889">
        <f t="shared" si="80"/>
        <v>31010.76</v>
      </c>
      <c r="O889">
        <f t="shared" si="81"/>
        <v>25251.119999999999</v>
      </c>
      <c r="P889">
        <f t="shared" si="82"/>
        <v>5759.6399999999994</v>
      </c>
      <c r="Q889">
        <f t="shared" si="83"/>
        <v>18.57303722965835</v>
      </c>
      <c r="R889" t="s">
        <v>49</v>
      </c>
      <c r="S889" t="s">
        <v>43</v>
      </c>
      <c r="T889">
        <v>4.3</v>
      </c>
    </row>
    <row r="890" spans="1:20">
      <c r="A890" t="s">
        <v>958</v>
      </c>
      <c r="B890" s="3">
        <v>45937</v>
      </c>
      <c r="C890" t="s">
        <v>21</v>
      </c>
      <c r="D890" t="s">
        <v>28</v>
      </c>
      <c r="E890" t="s">
        <v>68</v>
      </c>
      <c r="F890" t="s">
        <v>23</v>
      </c>
      <c r="G890" t="s">
        <v>37</v>
      </c>
      <c r="H890">
        <v>40</v>
      </c>
      <c r="I890">
        <v>116.04</v>
      </c>
      <c r="J890">
        <v>96.9</v>
      </c>
      <c r="K890">
        <f t="shared" si="78"/>
        <v>4641.6000000000004</v>
      </c>
      <c r="L890">
        <v>0.1</v>
      </c>
      <c r="M890">
        <f t="shared" si="79"/>
        <v>464.16000000000008</v>
      </c>
      <c r="N890">
        <f t="shared" si="80"/>
        <v>4177.4400000000005</v>
      </c>
      <c r="O890">
        <f t="shared" si="81"/>
        <v>3876</v>
      </c>
      <c r="P890">
        <f t="shared" si="82"/>
        <v>301.44000000000051</v>
      </c>
      <c r="Q890">
        <f t="shared" si="83"/>
        <v>7.215902562334839</v>
      </c>
      <c r="R890" t="s">
        <v>50</v>
      </c>
      <c r="S890" t="s">
        <v>43</v>
      </c>
      <c r="T890">
        <v>3.8</v>
      </c>
    </row>
    <row r="891" spans="1:20">
      <c r="A891" t="s">
        <v>959</v>
      </c>
      <c r="B891" s="3">
        <v>45938</v>
      </c>
      <c r="C891" t="s">
        <v>21</v>
      </c>
      <c r="D891" t="s">
        <v>32</v>
      </c>
      <c r="E891" t="s">
        <v>70</v>
      </c>
      <c r="F891" t="s">
        <v>20</v>
      </c>
      <c r="G891" t="s">
        <v>34</v>
      </c>
      <c r="H891">
        <v>48</v>
      </c>
      <c r="I891">
        <v>1481.45</v>
      </c>
      <c r="J891">
        <v>798.81</v>
      </c>
      <c r="K891">
        <f t="shared" si="78"/>
        <v>71109.600000000006</v>
      </c>
      <c r="L891">
        <v>0.25</v>
      </c>
      <c r="M891">
        <f t="shared" si="79"/>
        <v>17777.400000000001</v>
      </c>
      <c r="N891">
        <f t="shared" si="80"/>
        <v>53332.200000000004</v>
      </c>
      <c r="O891">
        <f t="shared" si="81"/>
        <v>38342.879999999997</v>
      </c>
      <c r="P891">
        <f t="shared" si="82"/>
        <v>14989.320000000007</v>
      </c>
      <c r="Q891">
        <f t="shared" si="83"/>
        <v>28.105572243410183</v>
      </c>
      <c r="R891" t="s">
        <v>50</v>
      </c>
      <c r="S891" t="s">
        <v>41</v>
      </c>
      <c r="T891">
        <v>3.8</v>
      </c>
    </row>
    <row r="892" spans="1:20">
      <c r="A892" t="s">
        <v>960</v>
      </c>
      <c r="B892" s="3">
        <v>45940</v>
      </c>
      <c r="C892" t="s">
        <v>21</v>
      </c>
      <c r="D892" t="s">
        <v>32</v>
      </c>
      <c r="E892" t="s">
        <v>68</v>
      </c>
      <c r="F892" t="s">
        <v>24</v>
      </c>
      <c r="G892" t="s">
        <v>46</v>
      </c>
      <c r="H892">
        <v>42</v>
      </c>
      <c r="I892">
        <v>11.69</v>
      </c>
      <c r="J892">
        <v>6.49</v>
      </c>
      <c r="K892">
        <f t="shared" si="78"/>
        <v>490.97999999999996</v>
      </c>
      <c r="L892">
        <v>0</v>
      </c>
      <c r="M892">
        <f t="shared" si="79"/>
        <v>0</v>
      </c>
      <c r="N892">
        <f t="shared" si="80"/>
        <v>490.97999999999996</v>
      </c>
      <c r="O892">
        <f t="shared" si="81"/>
        <v>272.58</v>
      </c>
      <c r="P892">
        <f t="shared" si="82"/>
        <v>218.39999999999998</v>
      </c>
      <c r="Q892">
        <f t="shared" si="83"/>
        <v>44.482463644140289</v>
      </c>
      <c r="R892" t="s">
        <v>49</v>
      </c>
      <c r="S892" t="s">
        <v>45</v>
      </c>
      <c r="T892">
        <v>3.6</v>
      </c>
    </row>
    <row r="893" spans="1:20">
      <c r="A893" t="s">
        <v>961</v>
      </c>
      <c r="B893" s="3">
        <v>45943</v>
      </c>
      <c r="C893" t="s">
        <v>21</v>
      </c>
      <c r="D893" t="s">
        <v>28</v>
      </c>
      <c r="E893" t="s">
        <v>68</v>
      </c>
      <c r="F893" t="s">
        <v>20</v>
      </c>
      <c r="G893" t="s">
        <v>36</v>
      </c>
      <c r="H893">
        <v>13</v>
      </c>
      <c r="I893">
        <v>464.75</v>
      </c>
      <c r="J893">
        <v>179.43</v>
      </c>
      <c r="K893">
        <f t="shared" si="78"/>
        <v>6041.75</v>
      </c>
      <c r="L893">
        <v>0.05</v>
      </c>
      <c r="M893">
        <f t="shared" si="79"/>
        <v>302.08750000000003</v>
      </c>
      <c r="N893">
        <f t="shared" si="80"/>
        <v>5739.6625000000004</v>
      </c>
      <c r="O893">
        <f t="shared" si="81"/>
        <v>2332.59</v>
      </c>
      <c r="P893">
        <f t="shared" si="82"/>
        <v>3407.0725000000002</v>
      </c>
      <c r="Q893">
        <f t="shared" si="83"/>
        <v>59.36015401602446</v>
      </c>
      <c r="R893" t="s">
        <v>50</v>
      </c>
      <c r="S893" t="s">
        <v>43</v>
      </c>
      <c r="T893">
        <v>4.3</v>
      </c>
    </row>
    <row r="894" spans="1:20">
      <c r="A894" t="s">
        <v>962</v>
      </c>
      <c r="B894" s="3">
        <v>45943</v>
      </c>
      <c r="C894" t="s">
        <v>21</v>
      </c>
      <c r="D894" t="s">
        <v>26</v>
      </c>
      <c r="E894" t="s">
        <v>70</v>
      </c>
      <c r="F894" t="s">
        <v>22</v>
      </c>
      <c r="G894" t="s">
        <v>33</v>
      </c>
      <c r="H894">
        <v>49</v>
      </c>
      <c r="I894">
        <v>1045.28</v>
      </c>
      <c r="J894">
        <v>662.66</v>
      </c>
      <c r="K894">
        <f t="shared" si="78"/>
        <v>51218.720000000001</v>
      </c>
      <c r="L894">
        <v>0.15</v>
      </c>
      <c r="M894">
        <f t="shared" si="79"/>
        <v>7682.808</v>
      </c>
      <c r="N894">
        <f t="shared" si="80"/>
        <v>43535.912000000004</v>
      </c>
      <c r="O894">
        <f t="shared" si="81"/>
        <v>32470.34</v>
      </c>
      <c r="P894">
        <f t="shared" si="82"/>
        <v>11065.572000000004</v>
      </c>
      <c r="Q894">
        <f t="shared" si="83"/>
        <v>25.417113118016232</v>
      </c>
      <c r="R894" t="s">
        <v>50</v>
      </c>
      <c r="S894" t="s">
        <v>43</v>
      </c>
      <c r="T894">
        <v>3.2</v>
      </c>
    </row>
    <row r="895" spans="1:20">
      <c r="A895" t="s">
        <v>963</v>
      </c>
      <c r="B895" s="3">
        <v>45943</v>
      </c>
      <c r="C895" t="s">
        <v>21</v>
      </c>
      <c r="D895" t="s">
        <v>30</v>
      </c>
      <c r="E895" t="s">
        <v>68</v>
      </c>
      <c r="F895" t="s">
        <v>20</v>
      </c>
      <c r="G895" t="s">
        <v>34</v>
      </c>
      <c r="H895">
        <v>49</v>
      </c>
      <c r="I895">
        <v>428.45</v>
      </c>
      <c r="J895">
        <v>214.53</v>
      </c>
      <c r="K895">
        <f t="shared" si="78"/>
        <v>20994.05</v>
      </c>
      <c r="L895">
        <v>0</v>
      </c>
      <c r="M895">
        <f t="shared" si="79"/>
        <v>0</v>
      </c>
      <c r="N895">
        <f t="shared" si="80"/>
        <v>20994.05</v>
      </c>
      <c r="O895">
        <f t="shared" si="81"/>
        <v>10511.97</v>
      </c>
      <c r="P895">
        <f t="shared" si="82"/>
        <v>10482.08</v>
      </c>
      <c r="Q895">
        <f t="shared" si="83"/>
        <v>49.928813163729721</v>
      </c>
      <c r="R895" t="s">
        <v>50</v>
      </c>
      <c r="S895" t="s">
        <v>41</v>
      </c>
      <c r="T895">
        <v>4.2</v>
      </c>
    </row>
    <row r="896" spans="1:20">
      <c r="A896" t="s">
        <v>964</v>
      </c>
      <c r="B896" s="3">
        <v>45943</v>
      </c>
      <c r="C896" t="s">
        <v>21</v>
      </c>
      <c r="D896" t="s">
        <v>26</v>
      </c>
      <c r="E896" t="s">
        <v>68</v>
      </c>
      <c r="F896" t="s">
        <v>23</v>
      </c>
      <c r="G896" t="s">
        <v>37</v>
      </c>
      <c r="H896">
        <v>5</v>
      </c>
      <c r="I896">
        <v>477.96</v>
      </c>
      <c r="J896">
        <v>358.37</v>
      </c>
      <c r="K896">
        <f t="shared" si="78"/>
        <v>2389.7999999999997</v>
      </c>
      <c r="L896">
        <v>0.05</v>
      </c>
      <c r="M896">
        <f t="shared" si="79"/>
        <v>119.49</v>
      </c>
      <c r="N896">
        <f t="shared" si="80"/>
        <v>2270.31</v>
      </c>
      <c r="O896">
        <f t="shared" si="81"/>
        <v>1791.85</v>
      </c>
      <c r="P896">
        <f t="shared" si="82"/>
        <v>478.46000000000004</v>
      </c>
      <c r="Q896">
        <f t="shared" si="83"/>
        <v>21.074655003061256</v>
      </c>
      <c r="R896" t="s">
        <v>49</v>
      </c>
      <c r="S896" t="s">
        <v>45</v>
      </c>
      <c r="T896">
        <v>4.8</v>
      </c>
    </row>
    <row r="897" spans="1:20">
      <c r="A897" t="s">
        <v>965</v>
      </c>
      <c r="B897" s="3">
        <v>45944</v>
      </c>
      <c r="C897" t="s">
        <v>21</v>
      </c>
      <c r="D897" t="s">
        <v>30</v>
      </c>
      <c r="E897" t="s">
        <v>68</v>
      </c>
      <c r="F897" t="s">
        <v>22</v>
      </c>
      <c r="G897" t="s">
        <v>42</v>
      </c>
      <c r="H897">
        <v>14</v>
      </c>
      <c r="I897">
        <v>38.25</v>
      </c>
      <c r="J897">
        <v>29.03</v>
      </c>
      <c r="K897">
        <f t="shared" si="78"/>
        <v>535.5</v>
      </c>
      <c r="L897">
        <v>0.1</v>
      </c>
      <c r="M897">
        <f t="shared" si="79"/>
        <v>53.550000000000004</v>
      </c>
      <c r="N897">
        <f t="shared" si="80"/>
        <v>481.95</v>
      </c>
      <c r="O897">
        <f t="shared" si="81"/>
        <v>406.42</v>
      </c>
      <c r="P897">
        <f t="shared" si="82"/>
        <v>75.529999999999973</v>
      </c>
      <c r="Q897">
        <f t="shared" si="83"/>
        <v>15.671750181554097</v>
      </c>
      <c r="R897" t="s">
        <v>51</v>
      </c>
      <c r="S897" t="s">
        <v>45</v>
      </c>
      <c r="T897">
        <v>4.0999999999999996</v>
      </c>
    </row>
    <row r="898" spans="1:20">
      <c r="A898" t="s">
        <v>966</v>
      </c>
      <c r="B898" s="3">
        <v>45945</v>
      </c>
      <c r="C898" t="s">
        <v>21</v>
      </c>
      <c r="D898" t="s">
        <v>26</v>
      </c>
      <c r="E898" t="s">
        <v>68</v>
      </c>
      <c r="F898" t="s">
        <v>23</v>
      </c>
      <c r="G898" t="s">
        <v>38</v>
      </c>
      <c r="H898">
        <v>18</v>
      </c>
      <c r="I898">
        <v>695.6</v>
      </c>
      <c r="J898">
        <v>560.66999999999996</v>
      </c>
      <c r="K898">
        <f t="shared" ref="K898:K961" si="84">H898*I898</f>
        <v>12520.800000000001</v>
      </c>
      <c r="L898">
        <v>0.1</v>
      </c>
      <c r="M898">
        <f t="shared" ref="M898:M961" si="85">K898*L898</f>
        <v>1252.0800000000002</v>
      </c>
      <c r="N898">
        <f t="shared" ref="N898:N961" si="86">K898-M898</f>
        <v>11268.720000000001</v>
      </c>
      <c r="O898">
        <f t="shared" ref="O898:O961" si="87">H898*J898</f>
        <v>10092.06</v>
      </c>
      <c r="P898">
        <f t="shared" ref="P898:P961" si="88">N898-O898</f>
        <v>1176.6600000000017</v>
      </c>
      <c r="Q898">
        <f t="shared" ref="Q898:Q961" si="89">IFERROR(P898/N898*100,0)</f>
        <v>10.441824803526945</v>
      </c>
      <c r="R898" t="s">
        <v>50</v>
      </c>
      <c r="S898" t="s">
        <v>41</v>
      </c>
      <c r="T898">
        <v>3.1</v>
      </c>
    </row>
    <row r="899" spans="1:20">
      <c r="A899" t="s">
        <v>967</v>
      </c>
      <c r="B899" s="3">
        <v>45945</v>
      </c>
      <c r="C899" t="s">
        <v>21</v>
      </c>
      <c r="D899" t="s">
        <v>30</v>
      </c>
      <c r="E899" t="s">
        <v>68</v>
      </c>
      <c r="F899" t="s">
        <v>24</v>
      </c>
      <c r="G899" t="s">
        <v>46</v>
      </c>
      <c r="H899">
        <v>5</v>
      </c>
      <c r="I899">
        <v>1110.8900000000001</v>
      </c>
      <c r="J899">
        <v>578.48</v>
      </c>
      <c r="K899">
        <f t="shared" si="84"/>
        <v>5554.4500000000007</v>
      </c>
      <c r="L899">
        <v>0</v>
      </c>
      <c r="M899">
        <f t="shared" si="85"/>
        <v>0</v>
      </c>
      <c r="N899">
        <f t="shared" si="86"/>
        <v>5554.4500000000007</v>
      </c>
      <c r="O899">
        <f t="shared" si="87"/>
        <v>2892.4</v>
      </c>
      <c r="P899">
        <f t="shared" si="88"/>
        <v>2662.0500000000006</v>
      </c>
      <c r="Q899">
        <f t="shared" si="89"/>
        <v>47.92643736103485</v>
      </c>
      <c r="R899" t="s">
        <v>49</v>
      </c>
      <c r="S899" t="s">
        <v>45</v>
      </c>
      <c r="T899">
        <v>4</v>
      </c>
    </row>
    <row r="900" spans="1:20">
      <c r="A900" t="s">
        <v>968</v>
      </c>
      <c r="B900" s="3">
        <v>45946</v>
      </c>
      <c r="C900" t="s">
        <v>21</v>
      </c>
      <c r="D900" t="s">
        <v>28</v>
      </c>
      <c r="E900" t="s">
        <v>68</v>
      </c>
      <c r="F900" t="s">
        <v>22</v>
      </c>
      <c r="G900" t="s">
        <v>42</v>
      </c>
      <c r="H900">
        <v>19</v>
      </c>
      <c r="I900">
        <v>808.2</v>
      </c>
      <c r="J900">
        <v>644.46</v>
      </c>
      <c r="K900">
        <f t="shared" si="84"/>
        <v>15355.800000000001</v>
      </c>
      <c r="L900">
        <v>0</v>
      </c>
      <c r="M900">
        <f t="shared" si="85"/>
        <v>0</v>
      </c>
      <c r="N900">
        <f t="shared" si="86"/>
        <v>15355.800000000001</v>
      </c>
      <c r="O900">
        <f t="shared" si="87"/>
        <v>12244.740000000002</v>
      </c>
      <c r="P900">
        <f t="shared" si="88"/>
        <v>3111.0599999999995</v>
      </c>
      <c r="Q900">
        <f t="shared" si="89"/>
        <v>20.259836674090568</v>
      </c>
      <c r="R900" t="s">
        <v>49</v>
      </c>
      <c r="S900" t="s">
        <v>43</v>
      </c>
      <c r="T900">
        <v>4.0999999999999996</v>
      </c>
    </row>
    <row r="901" spans="1:20">
      <c r="A901" t="s">
        <v>969</v>
      </c>
      <c r="B901" s="3">
        <v>45946</v>
      </c>
      <c r="C901" t="s">
        <v>21</v>
      </c>
      <c r="D901" t="s">
        <v>28</v>
      </c>
      <c r="E901" t="s">
        <v>86</v>
      </c>
      <c r="F901" t="s">
        <v>23</v>
      </c>
      <c r="G901" t="s">
        <v>38</v>
      </c>
      <c r="H901">
        <v>18</v>
      </c>
      <c r="I901">
        <v>27.73</v>
      </c>
      <c r="J901">
        <v>23.21</v>
      </c>
      <c r="K901">
        <f t="shared" si="84"/>
        <v>499.14</v>
      </c>
      <c r="L901">
        <v>0.15</v>
      </c>
      <c r="M901">
        <f t="shared" si="85"/>
        <v>74.870999999999995</v>
      </c>
      <c r="N901">
        <f t="shared" si="86"/>
        <v>424.26900000000001</v>
      </c>
      <c r="O901">
        <f t="shared" si="87"/>
        <v>417.78000000000003</v>
      </c>
      <c r="P901">
        <f t="shared" si="88"/>
        <v>6.4889999999999759</v>
      </c>
      <c r="Q901">
        <f t="shared" si="89"/>
        <v>1.5294541906196248</v>
      </c>
      <c r="R901" t="s">
        <v>49</v>
      </c>
      <c r="S901" t="s">
        <v>45</v>
      </c>
      <c r="T901">
        <v>3.4</v>
      </c>
    </row>
    <row r="902" spans="1:20">
      <c r="A902" t="s">
        <v>970</v>
      </c>
      <c r="B902" s="3">
        <v>45947</v>
      </c>
      <c r="C902" t="s">
        <v>21</v>
      </c>
      <c r="D902" t="s">
        <v>28</v>
      </c>
      <c r="E902" t="s">
        <v>68</v>
      </c>
      <c r="F902" t="s">
        <v>20</v>
      </c>
      <c r="G902" t="s">
        <v>34</v>
      </c>
      <c r="H902">
        <v>10</v>
      </c>
      <c r="I902">
        <v>1209.8699999999999</v>
      </c>
      <c r="J902">
        <v>663.04</v>
      </c>
      <c r="K902">
        <f t="shared" si="84"/>
        <v>12098.699999999999</v>
      </c>
      <c r="L902">
        <v>0.05</v>
      </c>
      <c r="M902">
        <f t="shared" si="85"/>
        <v>604.93499999999995</v>
      </c>
      <c r="N902">
        <f t="shared" si="86"/>
        <v>11493.764999999999</v>
      </c>
      <c r="O902">
        <f t="shared" si="87"/>
        <v>6630.4</v>
      </c>
      <c r="P902">
        <f t="shared" si="88"/>
        <v>4863.3649999999998</v>
      </c>
      <c r="Q902">
        <f t="shared" si="89"/>
        <v>42.313071478318896</v>
      </c>
      <c r="R902" t="s">
        <v>49</v>
      </c>
      <c r="S902" t="s">
        <v>41</v>
      </c>
      <c r="T902">
        <v>3.2</v>
      </c>
    </row>
    <row r="903" spans="1:20">
      <c r="A903" t="s">
        <v>971</v>
      </c>
      <c r="B903" s="3">
        <v>45947</v>
      </c>
      <c r="C903" t="s">
        <v>21</v>
      </c>
      <c r="D903" t="s">
        <v>26</v>
      </c>
      <c r="E903" t="s">
        <v>68</v>
      </c>
      <c r="F903" t="s">
        <v>24</v>
      </c>
      <c r="G903" t="s">
        <v>29</v>
      </c>
      <c r="H903">
        <v>13</v>
      </c>
      <c r="I903">
        <v>545.95000000000005</v>
      </c>
      <c r="J903">
        <v>379.27</v>
      </c>
      <c r="K903">
        <f t="shared" si="84"/>
        <v>7097.35</v>
      </c>
      <c r="L903">
        <v>0</v>
      </c>
      <c r="M903">
        <f t="shared" si="85"/>
        <v>0</v>
      </c>
      <c r="N903">
        <f t="shared" si="86"/>
        <v>7097.35</v>
      </c>
      <c r="O903">
        <f t="shared" si="87"/>
        <v>4930.51</v>
      </c>
      <c r="P903">
        <f t="shared" si="88"/>
        <v>2166.84</v>
      </c>
      <c r="Q903">
        <f t="shared" si="89"/>
        <v>30.530268339591537</v>
      </c>
      <c r="R903" t="s">
        <v>50</v>
      </c>
      <c r="S903" t="s">
        <v>41</v>
      </c>
      <c r="T903">
        <v>4.7</v>
      </c>
    </row>
    <row r="904" spans="1:20">
      <c r="A904" t="s">
        <v>972</v>
      </c>
      <c r="B904" s="3">
        <v>45948</v>
      </c>
      <c r="C904" t="s">
        <v>21</v>
      </c>
      <c r="D904" t="s">
        <v>26</v>
      </c>
      <c r="E904" t="s">
        <v>68</v>
      </c>
      <c r="F904" t="s">
        <v>20</v>
      </c>
      <c r="G904" t="s">
        <v>31</v>
      </c>
      <c r="H904">
        <v>34</v>
      </c>
      <c r="I904">
        <v>350.18</v>
      </c>
      <c r="J904">
        <v>194.22</v>
      </c>
      <c r="K904">
        <f t="shared" si="84"/>
        <v>11906.12</v>
      </c>
      <c r="L904">
        <v>0.15</v>
      </c>
      <c r="M904">
        <f t="shared" si="85"/>
        <v>1785.9180000000001</v>
      </c>
      <c r="N904">
        <f t="shared" si="86"/>
        <v>10120.202000000001</v>
      </c>
      <c r="O904">
        <f t="shared" si="87"/>
        <v>6603.48</v>
      </c>
      <c r="P904">
        <f t="shared" si="88"/>
        <v>3516.7220000000016</v>
      </c>
      <c r="Q904">
        <f t="shared" si="89"/>
        <v>34.749523774327834</v>
      </c>
      <c r="R904" t="s">
        <v>49</v>
      </c>
      <c r="S904" t="s">
        <v>47</v>
      </c>
      <c r="T904">
        <v>4.3</v>
      </c>
    </row>
    <row r="905" spans="1:20">
      <c r="A905" t="s">
        <v>973</v>
      </c>
      <c r="B905" s="3">
        <v>45948</v>
      </c>
      <c r="C905" t="s">
        <v>21</v>
      </c>
      <c r="D905" t="s">
        <v>28</v>
      </c>
      <c r="E905" t="s">
        <v>68</v>
      </c>
      <c r="F905" t="s">
        <v>20</v>
      </c>
      <c r="G905" t="s">
        <v>34</v>
      </c>
      <c r="H905">
        <v>39</v>
      </c>
      <c r="I905">
        <v>763.85</v>
      </c>
      <c r="J905">
        <v>346.97</v>
      </c>
      <c r="K905">
        <f t="shared" si="84"/>
        <v>29790.15</v>
      </c>
      <c r="L905">
        <v>0</v>
      </c>
      <c r="M905">
        <f t="shared" si="85"/>
        <v>0</v>
      </c>
      <c r="N905">
        <f t="shared" si="86"/>
        <v>29790.15</v>
      </c>
      <c r="O905">
        <f t="shared" si="87"/>
        <v>13531.830000000002</v>
      </c>
      <c r="P905">
        <f t="shared" si="88"/>
        <v>16258.32</v>
      </c>
      <c r="Q905">
        <f t="shared" si="89"/>
        <v>54.576160240884988</v>
      </c>
      <c r="R905" t="s">
        <v>49</v>
      </c>
      <c r="S905" t="s">
        <v>41</v>
      </c>
      <c r="T905">
        <v>4.5999999999999996</v>
      </c>
    </row>
    <row r="906" spans="1:20">
      <c r="A906" t="s">
        <v>974</v>
      </c>
      <c r="B906" s="3">
        <v>45949</v>
      </c>
      <c r="C906" t="s">
        <v>21</v>
      </c>
      <c r="D906" t="s">
        <v>30</v>
      </c>
      <c r="E906" t="s">
        <v>86</v>
      </c>
      <c r="F906" t="s">
        <v>23</v>
      </c>
      <c r="G906" t="s">
        <v>38</v>
      </c>
      <c r="H906">
        <v>23</v>
      </c>
      <c r="I906">
        <v>806.75</v>
      </c>
      <c r="J906">
        <v>634.74</v>
      </c>
      <c r="K906">
        <f t="shared" si="84"/>
        <v>18555.25</v>
      </c>
      <c r="L906">
        <v>0.1</v>
      </c>
      <c r="M906">
        <f t="shared" si="85"/>
        <v>1855.5250000000001</v>
      </c>
      <c r="N906">
        <f t="shared" si="86"/>
        <v>16699.724999999999</v>
      </c>
      <c r="O906">
        <f t="shared" si="87"/>
        <v>14599.02</v>
      </c>
      <c r="P906">
        <f t="shared" si="88"/>
        <v>2100.7049999999981</v>
      </c>
      <c r="Q906">
        <f t="shared" si="89"/>
        <v>12.579279000103286</v>
      </c>
      <c r="R906" t="s">
        <v>50</v>
      </c>
      <c r="S906" t="s">
        <v>45</v>
      </c>
      <c r="T906">
        <v>3.2</v>
      </c>
    </row>
    <row r="907" spans="1:20">
      <c r="A907" t="s">
        <v>975</v>
      </c>
      <c r="B907" s="3">
        <v>45949</v>
      </c>
      <c r="C907" t="s">
        <v>21</v>
      </c>
      <c r="D907" t="s">
        <v>26</v>
      </c>
      <c r="E907" t="s">
        <v>68</v>
      </c>
      <c r="F907" t="s">
        <v>23</v>
      </c>
      <c r="G907" t="s">
        <v>37</v>
      </c>
      <c r="H907">
        <v>18</v>
      </c>
      <c r="I907">
        <v>757.71</v>
      </c>
      <c r="J907">
        <v>542.6</v>
      </c>
      <c r="K907">
        <f t="shared" si="84"/>
        <v>13638.78</v>
      </c>
      <c r="L907">
        <v>0</v>
      </c>
      <c r="M907">
        <f t="shared" si="85"/>
        <v>0</v>
      </c>
      <c r="N907">
        <f t="shared" si="86"/>
        <v>13638.78</v>
      </c>
      <c r="O907">
        <f t="shared" si="87"/>
        <v>9766.8000000000011</v>
      </c>
      <c r="P907">
        <f t="shared" si="88"/>
        <v>3871.9799999999996</v>
      </c>
      <c r="Q907">
        <f t="shared" si="89"/>
        <v>28.389489382481418</v>
      </c>
      <c r="R907" t="s">
        <v>49</v>
      </c>
      <c r="S907" t="s">
        <v>43</v>
      </c>
      <c r="T907">
        <v>3.9</v>
      </c>
    </row>
    <row r="908" spans="1:20">
      <c r="A908" t="s">
        <v>976</v>
      </c>
      <c r="B908" s="3">
        <v>45949</v>
      </c>
      <c r="C908" t="s">
        <v>21</v>
      </c>
      <c r="D908" t="s">
        <v>32</v>
      </c>
      <c r="E908" t="s">
        <v>86</v>
      </c>
      <c r="F908" t="s">
        <v>22</v>
      </c>
      <c r="G908" t="s">
        <v>35</v>
      </c>
      <c r="H908">
        <v>17</v>
      </c>
      <c r="I908">
        <v>1397.67</v>
      </c>
      <c r="J908">
        <v>889.63</v>
      </c>
      <c r="K908">
        <f t="shared" si="84"/>
        <v>23760.39</v>
      </c>
      <c r="L908">
        <v>0.25</v>
      </c>
      <c r="M908">
        <f t="shared" si="85"/>
        <v>5940.0974999999999</v>
      </c>
      <c r="N908">
        <f t="shared" si="86"/>
        <v>17820.2925</v>
      </c>
      <c r="O908">
        <f t="shared" si="87"/>
        <v>15123.71</v>
      </c>
      <c r="P908">
        <f t="shared" si="88"/>
        <v>2696.5825000000004</v>
      </c>
      <c r="Q908">
        <f t="shared" si="89"/>
        <v>15.132088881257141</v>
      </c>
      <c r="R908" t="s">
        <v>51</v>
      </c>
      <c r="S908" t="s">
        <v>43</v>
      </c>
      <c r="T908">
        <v>4.9000000000000004</v>
      </c>
    </row>
    <row r="909" spans="1:20">
      <c r="A909" t="s">
        <v>977</v>
      </c>
      <c r="B909" s="3">
        <v>45952</v>
      </c>
      <c r="C909" t="s">
        <v>21</v>
      </c>
      <c r="D909" t="s">
        <v>28</v>
      </c>
      <c r="E909" t="s">
        <v>68</v>
      </c>
      <c r="F909" t="s">
        <v>20</v>
      </c>
      <c r="G909" t="s">
        <v>36</v>
      </c>
      <c r="H909">
        <v>3</v>
      </c>
      <c r="I909">
        <v>1225.58</v>
      </c>
      <c r="J909">
        <v>630.62</v>
      </c>
      <c r="K909">
        <f t="shared" si="84"/>
        <v>3676.74</v>
      </c>
      <c r="L909">
        <v>0</v>
      </c>
      <c r="M909">
        <f t="shared" si="85"/>
        <v>0</v>
      </c>
      <c r="N909">
        <f t="shared" si="86"/>
        <v>3676.74</v>
      </c>
      <c r="O909">
        <f t="shared" si="87"/>
        <v>1891.8600000000001</v>
      </c>
      <c r="P909">
        <f t="shared" si="88"/>
        <v>1784.8799999999997</v>
      </c>
      <c r="Q909">
        <f t="shared" si="89"/>
        <v>48.545178609311499</v>
      </c>
      <c r="R909" t="s">
        <v>49</v>
      </c>
      <c r="S909" t="s">
        <v>41</v>
      </c>
      <c r="T909">
        <v>4.8</v>
      </c>
    </row>
    <row r="910" spans="1:20">
      <c r="A910" t="s">
        <v>978</v>
      </c>
      <c r="B910" s="3">
        <v>45953</v>
      </c>
      <c r="C910" t="s">
        <v>21</v>
      </c>
      <c r="D910" t="s">
        <v>32</v>
      </c>
      <c r="E910" t="s">
        <v>70</v>
      </c>
      <c r="F910" t="s">
        <v>24</v>
      </c>
      <c r="G910" t="s">
        <v>29</v>
      </c>
      <c r="H910">
        <v>43</v>
      </c>
      <c r="I910">
        <v>54.13</v>
      </c>
      <c r="J910">
        <v>35.08</v>
      </c>
      <c r="K910">
        <f t="shared" si="84"/>
        <v>2327.59</v>
      </c>
      <c r="L910">
        <v>0</v>
      </c>
      <c r="M910">
        <f t="shared" si="85"/>
        <v>0</v>
      </c>
      <c r="N910">
        <f t="shared" si="86"/>
        <v>2327.59</v>
      </c>
      <c r="O910">
        <f t="shared" si="87"/>
        <v>1508.4399999999998</v>
      </c>
      <c r="P910">
        <f t="shared" si="88"/>
        <v>819.15000000000032</v>
      </c>
      <c r="Q910">
        <f t="shared" si="89"/>
        <v>35.193053759467958</v>
      </c>
      <c r="R910" t="s">
        <v>49</v>
      </c>
      <c r="S910" t="s">
        <v>43</v>
      </c>
      <c r="T910">
        <v>3.5</v>
      </c>
    </row>
    <row r="911" spans="1:20">
      <c r="A911" t="s">
        <v>979</v>
      </c>
      <c r="B911" s="3">
        <v>45953</v>
      </c>
      <c r="C911" t="s">
        <v>21</v>
      </c>
      <c r="D911" t="s">
        <v>32</v>
      </c>
      <c r="E911" t="s">
        <v>68</v>
      </c>
      <c r="F911" t="s">
        <v>24</v>
      </c>
      <c r="G911" t="s">
        <v>40</v>
      </c>
      <c r="H911">
        <v>15</v>
      </c>
      <c r="I911">
        <v>113.59</v>
      </c>
      <c r="J911">
        <v>70.89</v>
      </c>
      <c r="K911">
        <f t="shared" si="84"/>
        <v>1703.8500000000001</v>
      </c>
      <c r="L911">
        <v>0</v>
      </c>
      <c r="M911">
        <f t="shared" si="85"/>
        <v>0</v>
      </c>
      <c r="N911">
        <f t="shared" si="86"/>
        <v>1703.8500000000001</v>
      </c>
      <c r="O911">
        <f t="shared" si="87"/>
        <v>1063.3499999999999</v>
      </c>
      <c r="P911">
        <f t="shared" si="88"/>
        <v>640.50000000000023</v>
      </c>
      <c r="Q911">
        <f t="shared" si="89"/>
        <v>37.591337265604373</v>
      </c>
      <c r="R911" t="s">
        <v>49</v>
      </c>
      <c r="S911" t="s">
        <v>41</v>
      </c>
      <c r="T911">
        <v>3.7</v>
      </c>
    </row>
    <row r="912" spans="1:20">
      <c r="A912" t="s">
        <v>980</v>
      </c>
      <c r="B912" s="3">
        <v>45955</v>
      </c>
      <c r="C912" t="s">
        <v>21</v>
      </c>
      <c r="D912" t="s">
        <v>26</v>
      </c>
      <c r="E912" t="s">
        <v>86</v>
      </c>
      <c r="F912" t="s">
        <v>20</v>
      </c>
      <c r="G912" t="s">
        <v>36</v>
      </c>
      <c r="H912">
        <v>24</v>
      </c>
      <c r="I912">
        <v>1304.9000000000001</v>
      </c>
      <c r="J912">
        <v>590.37</v>
      </c>
      <c r="K912">
        <f t="shared" si="84"/>
        <v>31317.600000000002</v>
      </c>
      <c r="L912">
        <v>0</v>
      </c>
      <c r="M912">
        <f t="shared" si="85"/>
        <v>0</v>
      </c>
      <c r="N912">
        <f t="shared" si="86"/>
        <v>31317.600000000002</v>
      </c>
      <c r="O912">
        <f t="shared" si="87"/>
        <v>14168.880000000001</v>
      </c>
      <c r="P912">
        <f t="shared" si="88"/>
        <v>17148.72</v>
      </c>
      <c r="Q912">
        <f t="shared" si="89"/>
        <v>54.757452678366157</v>
      </c>
      <c r="R912" t="s">
        <v>49</v>
      </c>
      <c r="S912" t="s">
        <v>41</v>
      </c>
      <c r="T912">
        <v>3.5</v>
      </c>
    </row>
    <row r="913" spans="1:20">
      <c r="A913" t="s">
        <v>981</v>
      </c>
      <c r="B913" s="3">
        <v>45955</v>
      </c>
      <c r="C913" t="s">
        <v>21</v>
      </c>
      <c r="D913" t="s">
        <v>32</v>
      </c>
      <c r="E913" t="s">
        <v>68</v>
      </c>
      <c r="F913" t="s">
        <v>20</v>
      </c>
      <c r="G913" t="s">
        <v>36</v>
      </c>
      <c r="H913">
        <v>17</v>
      </c>
      <c r="I913">
        <v>680.16</v>
      </c>
      <c r="J913">
        <v>362.51</v>
      </c>
      <c r="K913">
        <f t="shared" si="84"/>
        <v>11562.72</v>
      </c>
      <c r="L913">
        <v>0.2</v>
      </c>
      <c r="M913">
        <f t="shared" si="85"/>
        <v>2312.5439999999999</v>
      </c>
      <c r="N913">
        <f t="shared" si="86"/>
        <v>9250.1759999999995</v>
      </c>
      <c r="O913">
        <f t="shared" si="87"/>
        <v>6162.67</v>
      </c>
      <c r="P913">
        <f t="shared" si="88"/>
        <v>3087.5059999999994</v>
      </c>
      <c r="Q913">
        <f t="shared" si="89"/>
        <v>33.377808162785222</v>
      </c>
      <c r="R913" t="s">
        <v>49</v>
      </c>
      <c r="S913" t="s">
        <v>41</v>
      </c>
      <c r="T913">
        <v>4.3</v>
      </c>
    </row>
    <row r="914" spans="1:20">
      <c r="A914" t="s">
        <v>982</v>
      </c>
      <c r="B914" s="3">
        <v>45956</v>
      </c>
      <c r="C914" t="s">
        <v>21</v>
      </c>
      <c r="D914" t="s">
        <v>28</v>
      </c>
      <c r="E914" t="s">
        <v>68</v>
      </c>
      <c r="F914" t="s">
        <v>22</v>
      </c>
      <c r="G914" t="s">
        <v>42</v>
      </c>
      <c r="H914">
        <v>1</v>
      </c>
      <c r="I914">
        <v>1437.69</v>
      </c>
      <c r="J914">
        <v>970.69</v>
      </c>
      <c r="K914">
        <f t="shared" si="84"/>
        <v>1437.69</v>
      </c>
      <c r="L914">
        <v>0.25</v>
      </c>
      <c r="M914">
        <f t="shared" si="85"/>
        <v>359.42250000000001</v>
      </c>
      <c r="N914">
        <f t="shared" si="86"/>
        <v>1078.2674999999999</v>
      </c>
      <c r="O914">
        <f t="shared" si="87"/>
        <v>970.69</v>
      </c>
      <c r="P914">
        <f t="shared" si="88"/>
        <v>107.57749999999987</v>
      </c>
      <c r="Q914">
        <f t="shared" si="89"/>
        <v>9.9768842147240715</v>
      </c>
      <c r="R914" t="s">
        <v>50</v>
      </c>
      <c r="S914" t="s">
        <v>41</v>
      </c>
      <c r="T914">
        <v>3.2</v>
      </c>
    </row>
    <row r="915" spans="1:20">
      <c r="A915" t="s">
        <v>983</v>
      </c>
      <c r="B915" s="3">
        <v>45956</v>
      </c>
      <c r="C915" t="s">
        <v>21</v>
      </c>
      <c r="D915" t="s">
        <v>28</v>
      </c>
      <c r="E915" t="s">
        <v>68</v>
      </c>
      <c r="F915" t="s">
        <v>24</v>
      </c>
      <c r="G915" t="s">
        <v>40</v>
      </c>
      <c r="H915">
        <v>17</v>
      </c>
      <c r="I915">
        <v>238.85</v>
      </c>
      <c r="J915">
        <v>147.63999999999999</v>
      </c>
      <c r="K915">
        <f t="shared" si="84"/>
        <v>4060.45</v>
      </c>
      <c r="L915">
        <v>0</v>
      </c>
      <c r="M915">
        <f t="shared" si="85"/>
        <v>0</v>
      </c>
      <c r="N915">
        <f t="shared" si="86"/>
        <v>4060.45</v>
      </c>
      <c r="O915">
        <f t="shared" si="87"/>
        <v>2509.8799999999997</v>
      </c>
      <c r="P915">
        <f t="shared" si="88"/>
        <v>1550.5700000000002</v>
      </c>
      <c r="Q915">
        <f t="shared" si="89"/>
        <v>38.187146744818925</v>
      </c>
      <c r="R915" t="s">
        <v>51</v>
      </c>
      <c r="S915" t="s">
        <v>47</v>
      </c>
      <c r="T915">
        <v>4.5</v>
      </c>
    </row>
    <row r="916" spans="1:20">
      <c r="A916" t="s">
        <v>984</v>
      </c>
      <c r="B916" s="3">
        <v>45957</v>
      </c>
      <c r="C916" t="s">
        <v>21</v>
      </c>
      <c r="D916" t="s">
        <v>30</v>
      </c>
      <c r="E916" t="s">
        <v>68</v>
      </c>
      <c r="F916" t="s">
        <v>23</v>
      </c>
      <c r="G916" t="s">
        <v>38</v>
      </c>
      <c r="H916">
        <v>41</v>
      </c>
      <c r="I916">
        <v>1400.81</v>
      </c>
      <c r="J916">
        <v>1074.69</v>
      </c>
      <c r="K916">
        <f t="shared" si="84"/>
        <v>57433.21</v>
      </c>
      <c r="L916">
        <v>0.05</v>
      </c>
      <c r="M916">
        <f t="shared" si="85"/>
        <v>2871.6605</v>
      </c>
      <c r="N916">
        <f t="shared" si="86"/>
        <v>54561.549500000001</v>
      </c>
      <c r="O916">
        <f t="shared" si="87"/>
        <v>44062.29</v>
      </c>
      <c r="P916">
        <f t="shared" si="88"/>
        <v>10499.2595</v>
      </c>
      <c r="Q916">
        <f t="shared" si="89"/>
        <v>19.242964315007217</v>
      </c>
      <c r="R916" t="s">
        <v>49</v>
      </c>
      <c r="S916" t="s">
        <v>47</v>
      </c>
      <c r="T916">
        <v>3.7</v>
      </c>
    </row>
    <row r="917" spans="1:20">
      <c r="A917" t="s">
        <v>985</v>
      </c>
      <c r="B917" s="3">
        <v>45959</v>
      </c>
      <c r="C917" t="s">
        <v>21</v>
      </c>
      <c r="D917" t="s">
        <v>26</v>
      </c>
      <c r="E917" t="s">
        <v>86</v>
      </c>
      <c r="F917" t="s">
        <v>22</v>
      </c>
      <c r="G917" t="s">
        <v>35</v>
      </c>
      <c r="H917">
        <v>14</v>
      </c>
      <c r="I917">
        <v>698.83</v>
      </c>
      <c r="J917">
        <v>498.11</v>
      </c>
      <c r="K917">
        <f t="shared" si="84"/>
        <v>9783.6200000000008</v>
      </c>
      <c r="L917">
        <v>0.1</v>
      </c>
      <c r="M917">
        <f t="shared" si="85"/>
        <v>978.36200000000008</v>
      </c>
      <c r="N917">
        <f t="shared" si="86"/>
        <v>8805.2580000000016</v>
      </c>
      <c r="O917">
        <f t="shared" si="87"/>
        <v>6973.54</v>
      </c>
      <c r="P917">
        <f t="shared" si="88"/>
        <v>1831.7180000000017</v>
      </c>
      <c r="Q917">
        <f t="shared" si="89"/>
        <v>20.802547750446397</v>
      </c>
      <c r="R917" t="s">
        <v>50</v>
      </c>
      <c r="S917" t="s">
        <v>41</v>
      </c>
      <c r="T917">
        <v>4.5</v>
      </c>
    </row>
    <row r="918" spans="1:20">
      <c r="A918" t="s">
        <v>986</v>
      </c>
      <c r="B918" s="3">
        <v>45959</v>
      </c>
      <c r="C918" t="s">
        <v>21</v>
      </c>
      <c r="D918" t="s">
        <v>32</v>
      </c>
      <c r="E918" t="s">
        <v>68</v>
      </c>
      <c r="F918" t="s">
        <v>23</v>
      </c>
      <c r="G918" t="s">
        <v>37</v>
      </c>
      <c r="H918">
        <v>50</v>
      </c>
      <c r="I918">
        <v>438.49</v>
      </c>
      <c r="J918">
        <v>353.35</v>
      </c>
      <c r="K918">
        <f t="shared" si="84"/>
        <v>21924.5</v>
      </c>
      <c r="L918">
        <v>0.2</v>
      </c>
      <c r="M918">
        <f t="shared" si="85"/>
        <v>4384.9000000000005</v>
      </c>
      <c r="N918">
        <f t="shared" si="86"/>
        <v>17539.599999999999</v>
      </c>
      <c r="O918">
        <f t="shared" si="87"/>
        <v>17667.5</v>
      </c>
      <c r="P918">
        <f t="shared" si="88"/>
        <v>-127.90000000000146</v>
      </c>
      <c r="Q918">
        <f t="shared" si="89"/>
        <v>-0.72920705147210574</v>
      </c>
      <c r="R918" t="s">
        <v>50</v>
      </c>
      <c r="S918" t="s">
        <v>45</v>
      </c>
      <c r="T918">
        <v>4.3</v>
      </c>
    </row>
    <row r="919" spans="1:20">
      <c r="A919" t="s">
        <v>987</v>
      </c>
      <c r="B919" s="3">
        <v>45960</v>
      </c>
      <c r="C919" t="s">
        <v>21</v>
      </c>
      <c r="D919" t="s">
        <v>28</v>
      </c>
      <c r="E919" t="s">
        <v>68</v>
      </c>
      <c r="F919" t="s">
        <v>22</v>
      </c>
      <c r="G919" t="s">
        <v>33</v>
      </c>
      <c r="H919">
        <v>19</v>
      </c>
      <c r="I919">
        <v>219.96</v>
      </c>
      <c r="J919">
        <v>134.24</v>
      </c>
      <c r="K919">
        <f t="shared" si="84"/>
        <v>4179.24</v>
      </c>
      <c r="L919">
        <v>0.05</v>
      </c>
      <c r="M919">
        <f t="shared" si="85"/>
        <v>208.96199999999999</v>
      </c>
      <c r="N919">
        <f t="shared" si="86"/>
        <v>3970.2779999999998</v>
      </c>
      <c r="O919">
        <f t="shared" si="87"/>
        <v>2550.5600000000004</v>
      </c>
      <c r="P919">
        <f t="shared" si="88"/>
        <v>1419.7179999999994</v>
      </c>
      <c r="Q919">
        <f t="shared" si="89"/>
        <v>35.758654683626673</v>
      </c>
      <c r="R919" t="s">
        <v>50</v>
      </c>
      <c r="S919" t="s">
        <v>41</v>
      </c>
      <c r="T919">
        <v>3.6</v>
      </c>
    </row>
    <row r="920" spans="1:20">
      <c r="A920" t="s">
        <v>988</v>
      </c>
      <c r="B920" s="3">
        <v>45961</v>
      </c>
      <c r="C920" t="s">
        <v>21</v>
      </c>
      <c r="D920" t="s">
        <v>30</v>
      </c>
      <c r="E920" t="s">
        <v>70</v>
      </c>
      <c r="F920" t="s">
        <v>24</v>
      </c>
      <c r="G920" t="s">
        <v>46</v>
      </c>
      <c r="H920">
        <v>16</v>
      </c>
      <c r="I920">
        <v>477.04</v>
      </c>
      <c r="J920">
        <v>261.07</v>
      </c>
      <c r="K920">
        <f t="shared" si="84"/>
        <v>7632.64</v>
      </c>
      <c r="L920">
        <v>0</v>
      </c>
      <c r="M920">
        <f t="shared" si="85"/>
        <v>0</v>
      </c>
      <c r="N920">
        <f t="shared" si="86"/>
        <v>7632.64</v>
      </c>
      <c r="O920">
        <f t="shared" si="87"/>
        <v>4177.12</v>
      </c>
      <c r="P920">
        <f t="shared" si="88"/>
        <v>3455.5200000000004</v>
      </c>
      <c r="Q920">
        <f t="shared" si="89"/>
        <v>45.272933087372131</v>
      </c>
      <c r="R920" t="s">
        <v>49</v>
      </c>
      <c r="S920" t="s">
        <v>43</v>
      </c>
      <c r="T920">
        <v>3.1</v>
      </c>
    </row>
    <row r="921" spans="1:20">
      <c r="A921" t="s">
        <v>989</v>
      </c>
      <c r="B921" s="3">
        <v>45962</v>
      </c>
      <c r="C921" t="s">
        <v>21</v>
      </c>
      <c r="D921" t="s">
        <v>26</v>
      </c>
      <c r="E921" t="s">
        <v>68</v>
      </c>
      <c r="F921" t="s">
        <v>23</v>
      </c>
      <c r="G921" t="s">
        <v>37</v>
      </c>
      <c r="H921">
        <v>1</v>
      </c>
      <c r="I921">
        <v>625.66999999999996</v>
      </c>
      <c r="J921">
        <v>518.66999999999996</v>
      </c>
      <c r="K921">
        <f t="shared" si="84"/>
        <v>625.66999999999996</v>
      </c>
      <c r="L921">
        <v>0.05</v>
      </c>
      <c r="M921">
        <f t="shared" si="85"/>
        <v>31.2835</v>
      </c>
      <c r="N921">
        <f t="shared" si="86"/>
        <v>594.38649999999996</v>
      </c>
      <c r="O921">
        <f t="shared" si="87"/>
        <v>518.66999999999996</v>
      </c>
      <c r="P921">
        <f t="shared" si="88"/>
        <v>75.716499999999996</v>
      </c>
      <c r="Q921">
        <f t="shared" si="89"/>
        <v>12.738596855749584</v>
      </c>
      <c r="R921" t="s">
        <v>49</v>
      </c>
      <c r="S921" t="s">
        <v>45</v>
      </c>
      <c r="T921">
        <v>3.1</v>
      </c>
    </row>
    <row r="922" spans="1:20">
      <c r="A922" t="s">
        <v>990</v>
      </c>
      <c r="B922" s="3">
        <v>45963</v>
      </c>
      <c r="C922" t="s">
        <v>21</v>
      </c>
      <c r="D922" t="s">
        <v>26</v>
      </c>
      <c r="E922" t="s">
        <v>86</v>
      </c>
      <c r="F922" t="s">
        <v>22</v>
      </c>
      <c r="G922" t="s">
        <v>35</v>
      </c>
      <c r="H922">
        <v>7</v>
      </c>
      <c r="I922">
        <v>724.26</v>
      </c>
      <c r="J922">
        <v>453.61</v>
      </c>
      <c r="K922">
        <f t="shared" si="84"/>
        <v>5069.82</v>
      </c>
      <c r="L922">
        <v>0.1</v>
      </c>
      <c r="M922">
        <f t="shared" si="85"/>
        <v>506.98199999999997</v>
      </c>
      <c r="N922">
        <f t="shared" si="86"/>
        <v>4562.8379999999997</v>
      </c>
      <c r="O922">
        <f t="shared" si="87"/>
        <v>3175.27</v>
      </c>
      <c r="P922">
        <f t="shared" si="88"/>
        <v>1387.5679999999998</v>
      </c>
      <c r="Q922">
        <f t="shared" si="89"/>
        <v>30.410196461062167</v>
      </c>
      <c r="R922" t="s">
        <v>49</v>
      </c>
      <c r="S922" t="s">
        <v>47</v>
      </c>
      <c r="T922">
        <v>3.9</v>
      </c>
    </row>
    <row r="923" spans="1:20">
      <c r="A923" t="s">
        <v>991</v>
      </c>
      <c r="B923" s="3">
        <v>45964</v>
      </c>
      <c r="C923" t="s">
        <v>21</v>
      </c>
      <c r="D923" t="s">
        <v>32</v>
      </c>
      <c r="E923" t="s">
        <v>70</v>
      </c>
      <c r="F923" t="s">
        <v>20</v>
      </c>
      <c r="G923" t="s">
        <v>31</v>
      </c>
      <c r="H923">
        <v>23</v>
      </c>
      <c r="I923">
        <v>1182.4000000000001</v>
      </c>
      <c r="J923">
        <v>565.36</v>
      </c>
      <c r="K923">
        <f t="shared" si="84"/>
        <v>27195.200000000001</v>
      </c>
      <c r="L923">
        <v>0</v>
      </c>
      <c r="M923">
        <f t="shared" si="85"/>
        <v>0</v>
      </c>
      <c r="N923">
        <f t="shared" si="86"/>
        <v>27195.200000000001</v>
      </c>
      <c r="O923">
        <f t="shared" si="87"/>
        <v>13003.28</v>
      </c>
      <c r="P923">
        <f t="shared" si="88"/>
        <v>14191.92</v>
      </c>
      <c r="Q923">
        <f t="shared" si="89"/>
        <v>52.185385656292283</v>
      </c>
      <c r="R923" t="s">
        <v>50</v>
      </c>
      <c r="S923" t="s">
        <v>41</v>
      </c>
      <c r="T923">
        <v>3.4</v>
      </c>
    </row>
    <row r="924" spans="1:20">
      <c r="A924" t="s">
        <v>992</v>
      </c>
      <c r="B924" s="3">
        <v>45965</v>
      </c>
      <c r="C924" t="s">
        <v>21</v>
      </c>
      <c r="D924" t="s">
        <v>30</v>
      </c>
      <c r="E924" t="s">
        <v>68</v>
      </c>
      <c r="F924" t="s">
        <v>23</v>
      </c>
      <c r="G924" t="s">
        <v>38</v>
      </c>
      <c r="H924">
        <v>9</v>
      </c>
      <c r="I924">
        <v>542.42999999999995</v>
      </c>
      <c r="J924">
        <v>388.28</v>
      </c>
      <c r="K924">
        <f t="shared" si="84"/>
        <v>4881.87</v>
      </c>
      <c r="L924">
        <v>0.1</v>
      </c>
      <c r="M924">
        <f t="shared" si="85"/>
        <v>488.18700000000001</v>
      </c>
      <c r="N924">
        <f t="shared" si="86"/>
        <v>4393.683</v>
      </c>
      <c r="O924">
        <f t="shared" si="87"/>
        <v>3494.5199999999995</v>
      </c>
      <c r="P924">
        <f t="shared" si="88"/>
        <v>899.16300000000047</v>
      </c>
      <c r="Q924">
        <f t="shared" si="89"/>
        <v>20.4649038175945</v>
      </c>
      <c r="R924" t="s">
        <v>50</v>
      </c>
      <c r="S924" t="s">
        <v>45</v>
      </c>
      <c r="T924">
        <v>4.2</v>
      </c>
    </row>
    <row r="925" spans="1:20">
      <c r="A925" t="s">
        <v>993</v>
      </c>
      <c r="B925" s="3">
        <v>45966</v>
      </c>
      <c r="C925" t="s">
        <v>21</v>
      </c>
      <c r="D925" t="s">
        <v>28</v>
      </c>
      <c r="E925" t="s">
        <v>86</v>
      </c>
      <c r="F925" t="s">
        <v>20</v>
      </c>
      <c r="G925" t="s">
        <v>31</v>
      </c>
      <c r="H925">
        <v>9</v>
      </c>
      <c r="I925">
        <v>613.12</v>
      </c>
      <c r="J925">
        <v>245.27</v>
      </c>
      <c r="K925">
        <f t="shared" si="84"/>
        <v>5518.08</v>
      </c>
      <c r="L925">
        <v>0</v>
      </c>
      <c r="M925">
        <f t="shared" si="85"/>
        <v>0</v>
      </c>
      <c r="N925">
        <f t="shared" si="86"/>
        <v>5518.08</v>
      </c>
      <c r="O925">
        <f t="shared" si="87"/>
        <v>2207.4300000000003</v>
      </c>
      <c r="P925">
        <f t="shared" si="88"/>
        <v>3310.6499999999996</v>
      </c>
      <c r="Q925">
        <f t="shared" si="89"/>
        <v>59.996411795407091</v>
      </c>
      <c r="R925" t="s">
        <v>49</v>
      </c>
      <c r="S925" t="s">
        <v>41</v>
      </c>
      <c r="T925">
        <v>3.7</v>
      </c>
    </row>
    <row r="926" spans="1:20">
      <c r="A926" t="s">
        <v>994</v>
      </c>
      <c r="B926" s="3">
        <v>45967</v>
      </c>
      <c r="C926" t="s">
        <v>21</v>
      </c>
      <c r="D926" t="s">
        <v>30</v>
      </c>
      <c r="E926" t="s">
        <v>68</v>
      </c>
      <c r="F926" t="s">
        <v>20</v>
      </c>
      <c r="G926" t="s">
        <v>34</v>
      </c>
      <c r="H926">
        <v>3</v>
      </c>
      <c r="I926">
        <v>359.85</v>
      </c>
      <c r="J926">
        <v>177.66</v>
      </c>
      <c r="K926">
        <f t="shared" si="84"/>
        <v>1079.5500000000002</v>
      </c>
      <c r="L926">
        <v>0.15</v>
      </c>
      <c r="M926">
        <f t="shared" si="85"/>
        <v>161.93250000000003</v>
      </c>
      <c r="N926">
        <f t="shared" si="86"/>
        <v>917.61750000000018</v>
      </c>
      <c r="O926">
        <f t="shared" si="87"/>
        <v>532.98</v>
      </c>
      <c r="P926">
        <f t="shared" si="88"/>
        <v>384.63750000000016</v>
      </c>
      <c r="Q926">
        <f t="shared" si="89"/>
        <v>41.916975210259189</v>
      </c>
      <c r="R926" t="s">
        <v>49</v>
      </c>
      <c r="S926" t="s">
        <v>47</v>
      </c>
      <c r="T926">
        <v>4.0999999999999996</v>
      </c>
    </row>
    <row r="927" spans="1:20">
      <c r="A927" t="s">
        <v>995</v>
      </c>
      <c r="B927" s="3">
        <v>45967</v>
      </c>
      <c r="C927" t="s">
        <v>21</v>
      </c>
      <c r="D927" t="s">
        <v>26</v>
      </c>
      <c r="E927" t="s">
        <v>68</v>
      </c>
      <c r="F927" t="s">
        <v>20</v>
      </c>
      <c r="G927" t="s">
        <v>34</v>
      </c>
      <c r="H927">
        <v>40</v>
      </c>
      <c r="I927">
        <v>566.99</v>
      </c>
      <c r="J927">
        <v>337.01</v>
      </c>
      <c r="K927">
        <f t="shared" si="84"/>
        <v>22679.599999999999</v>
      </c>
      <c r="L927">
        <v>0</v>
      </c>
      <c r="M927">
        <f t="shared" si="85"/>
        <v>0</v>
      </c>
      <c r="N927">
        <f t="shared" si="86"/>
        <v>22679.599999999999</v>
      </c>
      <c r="O927">
        <f t="shared" si="87"/>
        <v>13480.4</v>
      </c>
      <c r="P927">
        <f t="shared" si="88"/>
        <v>9199.1999999999989</v>
      </c>
      <c r="Q927">
        <f t="shared" si="89"/>
        <v>40.56156193230921</v>
      </c>
      <c r="R927" t="s">
        <v>51</v>
      </c>
      <c r="S927" t="s">
        <v>41</v>
      </c>
      <c r="T927">
        <v>4.2</v>
      </c>
    </row>
    <row r="928" spans="1:20">
      <c r="A928" t="s">
        <v>996</v>
      </c>
      <c r="B928" s="3">
        <v>45968</v>
      </c>
      <c r="C928" t="s">
        <v>21</v>
      </c>
      <c r="D928" t="s">
        <v>28</v>
      </c>
      <c r="E928" t="s">
        <v>68</v>
      </c>
      <c r="F928" t="s">
        <v>20</v>
      </c>
      <c r="G928" t="s">
        <v>31</v>
      </c>
      <c r="H928">
        <v>18</v>
      </c>
      <c r="I928">
        <v>341.95</v>
      </c>
      <c r="J928">
        <v>182.2</v>
      </c>
      <c r="K928">
        <f t="shared" si="84"/>
        <v>6155.0999999999995</v>
      </c>
      <c r="L928">
        <v>0.05</v>
      </c>
      <c r="M928">
        <f t="shared" si="85"/>
        <v>307.755</v>
      </c>
      <c r="N928">
        <f t="shared" si="86"/>
        <v>5847.3449999999993</v>
      </c>
      <c r="O928">
        <f t="shared" si="87"/>
        <v>3279.6</v>
      </c>
      <c r="P928">
        <f t="shared" si="88"/>
        <v>2567.7449999999994</v>
      </c>
      <c r="Q928">
        <f t="shared" si="89"/>
        <v>43.913006672258945</v>
      </c>
      <c r="R928" t="s">
        <v>50</v>
      </c>
      <c r="S928" t="s">
        <v>43</v>
      </c>
      <c r="T928">
        <v>5</v>
      </c>
    </row>
    <row r="929" spans="1:20">
      <c r="A929" t="s">
        <v>997</v>
      </c>
      <c r="B929" s="3">
        <v>45970</v>
      </c>
      <c r="C929" t="s">
        <v>21</v>
      </c>
      <c r="D929" t="s">
        <v>30</v>
      </c>
      <c r="E929" t="s">
        <v>68</v>
      </c>
      <c r="F929" t="s">
        <v>24</v>
      </c>
      <c r="G929" t="s">
        <v>40</v>
      </c>
      <c r="H929">
        <v>49</v>
      </c>
      <c r="I929">
        <v>667.85</v>
      </c>
      <c r="J929">
        <v>395.15</v>
      </c>
      <c r="K929">
        <f t="shared" si="84"/>
        <v>32724.65</v>
      </c>
      <c r="L929">
        <v>0.05</v>
      </c>
      <c r="M929">
        <f t="shared" si="85"/>
        <v>1636.2325000000001</v>
      </c>
      <c r="N929">
        <f t="shared" si="86"/>
        <v>31088.417500000003</v>
      </c>
      <c r="O929">
        <f t="shared" si="87"/>
        <v>19362.349999999999</v>
      </c>
      <c r="P929">
        <f t="shared" si="88"/>
        <v>11726.067500000005</v>
      </c>
      <c r="Q929">
        <f t="shared" si="89"/>
        <v>37.718444497858414</v>
      </c>
      <c r="R929" t="s">
        <v>51</v>
      </c>
      <c r="S929" t="s">
        <v>43</v>
      </c>
      <c r="T929">
        <v>4.4000000000000004</v>
      </c>
    </row>
    <row r="930" spans="1:20">
      <c r="A930" t="s">
        <v>998</v>
      </c>
      <c r="B930" s="3">
        <v>45972</v>
      </c>
      <c r="C930" t="s">
        <v>21</v>
      </c>
      <c r="D930" t="s">
        <v>26</v>
      </c>
      <c r="E930" t="s">
        <v>70</v>
      </c>
      <c r="F930" t="s">
        <v>24</v>
      </c>
      <c r="G930" t="s">
        <v>29</v>
      </c>
      <c r="H930">
        <v>43</v>
      </c>
      <c r="I930">
        <v>1038.56</v>
      </c>
      <c r="J930">
        <v>595.41</v>
      </c>
      <c r="K930">
        <f t="shared" si="84"/>
        <v>44658.079999999994</v>
      </c>
      <c r="L930">
        <v>0.1</v>
      </c>
      <c r="M930">
        <f t="shared" si="85"/>
        <v>4465.808</v>
      </c>
      <c r="N930">
        <f t="shared" si="86"/>
        <v>40192.271999999997</v>
      </c>
      <c r="O930">
        <f t="shared" si="87"/>
        <v>25602.629999999997</v>
      </c>
      <c r="P930">
        <f t="shared" si="88"/>
        <v>14589.642</v>
      </c>
      <c r="Q930">
        <f t="shared" si="89"/>
        <v>36.299619986648182</v>
      </c>
      <c r="R930" t="s">
        <v>50</v>
      </c>
      <c r="S930" t="s">
        <v>43</v>
      </c>
      <c r="T930">
        <v>4.9000000000000004</v>
      </c>
    </row>
    <row r="931" spans="1:20">
      <c r="A931" t="s">
        <v>999</v>
      </c>
      <c r="B931" s="3">
        <v>45972</v>
      </c>
      <c r="C931" t="s">
        <v>21</v>
      </c>
      <c r="D931" t="s">
        <v>30</v>
      </c>
      <c r="E931" t="s">
        <v>86</v>
      </c>
      <c r="F931" t="s">
        <v>20</v>
      </c>
      <c r="G931" t="s">
        <v>36</v>
      </c>
      <c r="H931">
        <v>37</v>
      </c>
      <c r="I931">
        <v>866.63</v>
      </c>
      <c r="J931">
        <v>464.1</v>
      </c>
      <c r="K931">
        <f t="shared" si="84"/>
        <v>32065.31</v>
      </c>
      <c r="L931">
        <v>0</v>
      </c>
      <c r="M931">
        <f t="shared" si="85"/>
        <v>0</v>
      </c>
      <c r="N931">
        <f t="shared" si="86"/>
        <v>32065.31</v>
      </c>
      <c r="O931">
        <f t="shared" si="87"/>
        <v>17171.7</v>
      </c>
      <c r="P931">
        <f t="shared" si="88"/>
        <v>14893.61</v>
      </c>
      <c r="Q931">
        <f t="shared" si="89"/>
        <v>46.447734327221532</v>
      </c>
      <c r="R931" t="s">
        <v>49</v>
      </c>
      <c r="S931" t="s">
        <v>41</v>
      </c>
      <c r="T931">
        <v>5</v>
      </c>
    </row>
    <row r="932" spans="1:20">
      <c r="A932" t="s">
        <v>1000</v>
      </c>
      <c r="B932" s="3">
        <v>45974</v>
      </c>
      <c r="C932" t="s">
        <v>21</v>
      </c>
      <c r="D932" t="s">
        <v>28</v>
      </c>
      <c r="E932" t="s">
        <v>68</v>
      </c>
      <c r="F932" t="s">
        <v>20</v>
      </c>
      <c r="G932" t="s">
        <v>34</v>
      </c>
      <c r="H932">
        <v>37</v>
      </c>
      <c r="I932">
        <v>702.93</v>
      </c>
      <c r="J932">
        <v>397.27</v>
      </c>
      <c r="K932">
        <f t="shared" si="84"/>
        <v>26008.41</v>
      </c>
      <c r="L932">
        <v>0.05</v>
      </c>
      <c r="M932">
        <f t="shared" si="85"/>
        <v>1300.4205000000002</v>
      </c>
      <c r="N932">
        <f t="shared" si="86"/>
        <v>24707.9895</v>
      </c>
      <c r="O932">
        <f t="shared" si="87"/>
        <v>14698.99</v>
      </c>
      <c r="P932">
        <f t="shared" si="88"/>
        <v>10008.9995</v>
      </c>
      <c r="Q932">
        <f t="shared" si="89"/>
        <v>40.509162026315416</v>
      </c>
      <c r="R932" t="s">
        <v>50</v>
      </c>
      <c r="S932" t="s">
        <v>47</v>
      </c>
      <c r="T932">
        <v>4.7</v>
      </c>
    </row>
    <row r="933" spans="1:20">
      <c r="A933" t="s">
        <v>1001</v>
      </c>
      <c r="B933" s="3">
        <v>45974</v>
      </c>
      <c r="C933" t="s">
        <v>21</v>
      </c>
      <c r="D933" t="s">
        <v>26</v>
      </c>
      <c r="E933" t="s">
        <v>68</v>
      </c>
      <c r="F933" t="s">
        <v>22</v>
      </c>
      <c r="G933" t="s">
        <v>35</v>
      </c>
      <c r="H933">
        <v>12</v>
      </c>
      <c r="I933">
        <v>1435.31</v>
      </c>
      <c r="J933">
        <v>908.57</v>
      </c>
      <c r="K933">
        <f t="shared" si="84"/>
        <v>17223.72</v>
      </c>
      <c r="L933">
        <v>0.05</v>
      </c>
      <c r="M933">
        <f t="shared" si="85"/>
        <v>861.18600000000015</v>
      </c>
      <c r="N933">
        <f t="shared" si="86"/>
        <v>16362.534000000001</v>
      </c>
      <c r="O933">
        <f t="shared" si="87"/>
        <v>10902.84</v>
      </c>
      <c r="P933">
        <f t="shared" si="88"/>
        <v>5459.6940000000013</v>
      </c>
      <c r="Q933">
        <f t="shared" si="89"/>
        <v>33.367044493230694</v>
      </c>
      <c r="R933" t="s">
        <v>50</v>
      </c>
      <c r="S933" t="s">
        <v>41</v>
      </c>
      <c r="T933">
        <v>4</v>
      </c>
    </row>
    <row r="934" spans="1:20">
      <c r="A934" t="s">
        <v>1002</v>
      </c>
      <c r="B934" s="3">
        <v>45975</v>
      </c>
      <c r="C934" t="s">
        <v>21</v>
      </c>
      <c r="D934" t="s">
        <v>32</v>
      </c>
      <c r="E934" t="s">
        <v>86</v>
      </c>
      <c r="F934" t="s">
        <v>23</v>
      </c>
      <c r="G934" t="s">
        <v>37</v>
      </c>
      <c r="H934">
        <v>13</v>
      </c>
      <c r="I934">
        <v>723.41</v>
      </c>
      <c r="J934">
        <v>508.08</v>
      </c>
      <c r="K934">
        <f t="shared" si="84"/>
        <v>9404.33</v>
      </c>
      <c r="L934">
        <v>0.05</v>
      </c>
      <c r="M934">
        <f t="shared" si="85"/>
        <v>470.2165</v>
      </c>
      <c r="N934">
        <f t="shared" si="86"/>
        <v>8934.1134999999995</v>
      </c>
      <c r="O934">
        <f t="shared" si="87"/>
        <v>6605.04</v>
      </c>
      <c r="P934">
        <f t="shared" si="88"/>
        <v>2329.0734999999995</v>
      </c>
      <c r="Q934">
        <f t="shared" si="89"/>
        <v>26.069441584775028</v>
      </c>
      <c r="R934" t="s">
        <v>49</v>
      </c>
      <c r="S934" t="s">
        <v>43</v>
      </c>
      <c r="T934">
        <v>4.8</v>
      </c>
    </row>
    <row r="935" spans="1:20">
      <c r="A935" t="s">
        <v>1003</v>
      </c>
      <c r="B935" s="3">
        <v>45975</v>
      </c>
      <c r="C935" t="s">
        <v>21</v>
      </c>
      <c r="D935" t="s">
        <v>32</v>
      </c>
      <c r="E935" t="s">
        <v>68</v>
      </c>
      <c r="F935" t="s">
        <v>24</v>
      </c>
      <c r="G935" t="s">
        <v>46</v>
      </c>
      <c r="H935">
        <v>22</v>
      </c>
      <c r="I935">
        <v>490.27</v>
      </c>
      <c r="J935">
        <v>291.64</v>
      </c>
      <c r="K935">
        <f t="shared" si="84"/>
        <v>10785.939999999999</v>
      </c>
      <c r="L935">
        <v>0.1</v>
      </c>
      <c r="M935">
        <f t="shared" si="85"/>
        <v>1078.5939999999998</v>
      </c>
      <c r="N935">
        <f t="shared" si="86"/>
        <v>9707.3459999999995</v>
      </c>
      <c r="O935">
        <f t="shared" si="87"/>
        <v>6416.08</v>
      </c>
      <c r="P935">
        <f t="shared" si="88"/>
        <v>3291.2659999999996</v>
      </c>
      <c r="Q935">
        <f t="shared" si="89"/>
        <v>33.904900474341801</v>
      </c>
      <c r="R935" t="s">
        <v>50</v>
      </c>
      <c r="S935" t="s">
        <v>41</v>
      </c>
      <c r="T935">
        <v>3.1</v>
      </c>
    </row>
    <row r="936" spans="1:20">
      <c r="A936" t="s">
        <v>1004</v>
      </c>
      <c r="B936" s="3">
        <v>45976</v>
      </c>
      <c r="C936" t="s">
        <v>21</v>
      </c>
      <c r="D936" t="s">
        <v>26</v>
      </c>
      <c r="E936" t="s">
        <v>68</v>
      </c>
      <c r="F936" t="s">
        <v>23</v>
      </c>
      <c r="G936" t="s">
        <v>38</v>
      </c>
      <c r="H936">
        <v>48</v>
      </c>
      <c r="I936">
        <v>471.11</v>
      </c>
      <c r="J936">
        <v>388.31</v>
      </c>
      <c r="K936">
        <f t="shared" si="84"/>
        <v>22613.279999999999</v>
      </c>
      <c r="L936">
        <v>0.1</v>
      </c>
      <c r="M936">
        <f t="shared" si="85"/>
        <v>2261.328</v>
      </c>
      <c r="N936">
        <f t="shared" si="86"/>
        <v>20351.951999999997</v>
      </c>
      <c r="O936">
        <f t="shared" si="87"/>
        <v>18638.88</v>
      </c>
      <c r="P936">
        <f t="shared" si="88"/>
        <v>1713.0719999999965</v>
      </c>
      <c r="Q936">
        <f t="shared" si="89"/>
        <v>8.4172368331057221</v>
      </c>
      <c r="R936" t="s">
        <v>50</v>
      </c>
      <c r="S936" t="s">
        <v>41</v>
      </c>
      <c r="T936">
        <v>3.2</v>
      </c>
    </row>
    <row r="937" spans="1:20">
      <c r="A937" t="s">
        <v>1005</v>
      </c>
      <c r="B937" s="3">
        <v>45978</v>
      </c>
      <c r="C937" t="s">
        <v>21</v>
      </c>
      <c r="D937" t="s">
        <v>28</v>
      </c>
      <c r="E937" t="s">
        <v>68</v>
      </c>
      <c r="F937" t="s">
        <v>24</v>
      </c>
      <c r="G937" t="s">
        <v>29</v>
      </c>
      <c r="H937">
        <v>22</v>
      </c>
      <c r="I937">
        <v>888.85</v>
      </c>
      <c r="J937">
        <v>573.79</v>
      </c>
      <c r="K937">
        <f t="shared" si="84"/>
        <v>19554.7</v>
      </c>
      <c r="L937">
        <v>0.15</v>
      </c>
      <c r="M937">
        <f t="shared" si="85"/>
        <v>2933.2049999999999</v>
      </c>
      <c r="N937">
        <f t="shared" si="86"/>
        <v>16621.495000000003</v>
      </c>
      <c r="O937">
        <f t="shared" si="87"/>
        <v>12623.38</v>
      </c>
      <c r="P937">
        <f t="shared" si="88"/>
        <v>3998.1150000000034</v>
      </c>
      <c r="Q937">
        <f t="shared" si="89"/>
        <v>24.053883239744696</v>
      </c>
      <c r="R937" t="s">
        <v>49</v>
      </c>
      <c r="S937" t="s">
        <v>43</v>
      </c>
      <c r="T937">
        <v>4.3</v>
      </c>
    </row>
    <row r="938" spans="1:20">
      <c r="A938" t="s">
        <v>1006</v>
      </c>
      <c r="B938" s="3">
        <v>45978</v>
      </c>
      <c r="C938" t="s">
        <v>21</v>
      </c>
      <c r="D938" t="s">
        <v>30</v>
      </c>
      <c r="E938" t="s">
        <v>86</v>
      </c>
      <c r="F938" t="s">
        <v>23</v>
      </c>
      <c r="G938" t="s">
        <v>44</v>
      </c>
      <c r="H938">
        <v>17</v>
      </c>
      <c r="I938">
        <v>777.02</v>
      </c>
      <c r="J938">
        <v>658.32</v>
      </c>
      <c r="K938">
        <f t="shared" si="84"/>
        <v>13209.34</v>
      </c>
      <c r="L938">
        <v>0</v>
      </c>
      <c r="M938">
        <f t="shared" si="85"/>
        <v>0</v>
      </c>
      <c r="N938">
        <f t="shared" si="86"/>
        <v>13209.34</v>
      </c>
      <c r="O938">
        <f t="shared" si="87"/>
        <v>11191.44</v>
      </c>
      <c r="P938">
        <f t="shared" si="88"/>
        <v>2017.8999999999996</v>
      </c>
      <c r="Q938">
        <f t="shared" si="89"/>
        <v>15.276312064039532</v>
      </c>
      <c r="R938" t="s">
        <v>50</v>
      </c>
      <c r="S938" t="s">
        <v>41</v>
      </c>
      <c r="T938">
        <v>4.5999999999999996</v>
      </c>
    </row>
    <row r="939" spans="1:20">
      <c r="A939" t="s">
        <v>1007</v>
      </c>
      <c r="B939" s="3">
        <v>45979</v>
      </c>
      <c r="C939" t="s">
        <v>21</v>
      </c>
      <c r="D939" t="s">
        <v>32</v>
      </c>
      <c r="E939" t="s">
        <v>68</v>
      </c>
      <c r="F939" t="s">
        <v>23</v>
      </c>
      <c r="G939" t="s">
        <v>37</v>
      </c>
      <c r="H939">
        <v>39</v>
      </c>
      <c r="I939">
        <v>1017.97</v>
      </c>
      <c r="J939">
        <v>725.67</v>
      </c>
      <c r="K939">
        <f t="shared" si="84"/>
        <v>39700.83</v>
      </c>
      <c r="L939">
        <v>0.15</v>
      </c>
      <c r="M939">
        <f t="shared" si="85"/>
        <v>5955.1244999999999</v>
      </c>
      <c r="N939">
        <f t="shared" si="86"/>
        <v>33745.705500000004</v>
      </c>
      <c r="O939">
        <f t="shared" si="87"/>
        <v>28301.129999999997</v>
      </c>
      <c r="P939">
        <f t="shared" si="88"/>
        <v>5444.5755000000063</v>
      </c>
      <c r="Q939">
        <f t="shared" si="89"/>
        <v>16.134128533777449</v>
      </c>
      <c r="R939" t="s">
        <v>50</v>
      </c>
      <c r="S939" t="s">
        <v>41</v>
      </c>
      <c r="T939">
        <v>3.2</v>
      </c>
    </row>
    <row r="940" spans="1:20">
      <c r="A940" t="s">
        <v>1008</v>
      </c>
      <c r="B940" s="3">
        <v>45981</v>
      </c>
      <c r="C940" t="s">
        <v>21</v>
      </c>
      <c r="D940" t="s">
        <v>32</v>
      </c>
      <c r="E940" t="s">
        <v>70</v>
      </c>
      <c r="F940" t="s">
        <v>20</v>
      </c>
      <c r="G940" t="s">
        <v>36</v>
      </c>
      <c r="H940">
        <v>30</v>
      </c>
      <c r="I940">
        <v>218.24</v>
      </c>
      <c r="J940">
        <v>124.52</v>
      </c>
      <c r="K940">
        <f t="shared" si="84"/>
        <v>6547.2000000000007</v>
      </c>
      <c r="L940">
        <v>0.05</v>
      </c>
      <c r="M940">
        <f t="shared" si="85"/>
        <v>327.36000000000007</v>
      </c>
      <c r="N940">
        <f t="shared" si="86"/>
        <v>6219.8400000000011</v>
      </c>
      <c r="O940">
        <f t="shared" si="87"/>
        <v>3735.6</v>
      </c>
      <c r="P940">
        <f t="shared" si="88"/>
        <v>2484.2400000000011</v>
      </c>
      <c r="Q940">
        <f t="shared" si="89"/>
        <v>39.940577249575568</v>
      </c>
      <c r="R940" t="s">
        <v>51</v>
      </c>
      <c r="S940" t="s">
        <v>41</v>
      </c>
      <c r="T940">
        <v>4.5999999999999996</v>
      </c>
    </row>
    <row r="941" spans="1:20">
      <c r="A941" t="s">
        <v>1009</v>
      </c>
      <c r="B941" s="3">
        <v>45981</v>
      </c>
      <c r="C941" t="s">
        <v>21</v>
      </c>
      <c r="D941" t="s">
        <v>32</v>
      </c>
      <c r="E941" t="s">
        <v>70</v>
      </c>
      <c r="F941" t="s">
        <v>20</v>
      </c>
      <c r="G941" t="s">
        <v>34</v>
      </c>
      <c r="H941">
        <v>49</v>
      </c>
      <c r="I941">
        <v>493.6</v>
      </c>
      <c r="J941">
        <v>225.02</v>
      </c>
      <c r="K941">
        <f t="shared" si="84"/>
        <v>24186.400000000001</v>
      </c>
      <c r="L941">
        <v>0</v>
      </c>
      <c r="M941">
        <f t="shared" si="85"/>
        <v>0</v>
      </c>
      <c r="N941">
        <f t="shared" si="86"/>
        <v>24186.400000000001</v>
      </c>
      <c r="O941">
        <f t="shared" si="87"/>
        <v>11025.980000000001</v>
      </c>
      <c r="P941">
        <f t="shared" si="88"/>
        <v>13160.42</v>
      </c>
      <c r="Q941">
        <f t="shared" si="89"/>
        <v>54.412479740680709</v>
      </c>
      <c r="R941" t="s">
        <v>49</v>
      </c>
      <c r="S941" t="s">
        <v>41</v>
      </c>
      <c r="T941">
        <v>3.8</v>
      </c>
    </row>
    <row r="942" spans="1:20">
      <c r="A942" t="s">
        <v>1010</v>
      </c>
      <c r="B942" s="3">
        <v>45982</v>
      </c>
      <c r="C942" t="s">
        <v>21</v>
      </c>
      <c r="D942" t="s">
        <v>26</v>
      </c>
      <c r="E942" t="s">
        <v>68</v>
      </c>
      <c r="F942" t="s">
        <v>20</v>
      </c>
      <c r="G942" t="s">
        <v>36</v>
      </c>
      <c r="H942">
        <v>42</v>
      </c>
      <c r="I942">
        <v>492.71</v>
      </c>
      <c r="J942">
        <v>261.87</v>
      </c>
      <c r="K942">
        <f t="shared" si="84"/>
        <v>20693.82</v>
      </c>
      <c r="L942">
        <v>0</v>
      </c>
      <c r="M942">
        <f t="shared" si="85"/>
        <v>0</v>
      </c>
      <c r="N942">
        <f t="shared" si="86"/>
        <v>20693.82</v>
      </c>
      <c r="O942">
        <f t="shared" si="87"/>
        <v>10998.54</v>
      </c>
      <c r="P942">
        <f t="shared" si="88"/>
        <v>9695.2799999999988</v>
      </c>
      <c r="Q942">
        <f t="shared" si="89"/>
        <v>46.851088875809296</v>
      </c>
      <c r="R942" t="s">
        <v>49</v>
      </c>
      <c r="S942" t="s">
        <v>45</v>
      </c>
      <c r="T942">
        <v>3.3</v>
      </c>
    </row>
    <row r="943" spans="1:20">
      <c r="A943" t="s">
        <v>1011</v>
      </c>
      <c r="B943" s="3">
        <v>45982</v>
      </c>
      <c r="C943" t="s">
        <v>21</v>
      </c>
      <c r="D943" t="s">
        <v>30</v>
      </c>
      <c r="E943" t="s">
        <v>68</v>
      </c>
      <c r="F943" t="s">
        <v>20</v>
      </c>
      <c r="G943" t="s">
        <v>36</v>
      </c>
      <c r="H943">
        <v>14</v>
      </c>
      <c r="I943">
        <v>980.68</v>
      </c>
      <c r="J943">
        <v>452.54</v>
      </c>
      <c r="K943">
        <f t="shared" si="84"/>
        <v>13729.519999999999</v>
      </c>
      <c r="L943">
        <v>0</v>
      </c>
      <c r="M943">
        <f t="shared" si="85"/>
        <v>0</v>
      </c>
      <c r="N943">
        <f t="shared" si="86"/>
        <v>13729.519999999999</v>
      </c>
      <c r="O943">
        <f t="shared" si="87"/>
        <v>6335.56</v>
      </c>
      <c r="P943">
        <f t="shared" si="88"/>
        <v>7393.9599999999982</v>
      </c>
      <c r="Q943">
        <f t="shared" si="89"/>
        <v>53.854468328098861</v>
      </c>
      <c r="R943" t="s">
        <v>50</v>
      </c>
      <c r="S943" t="s">
        <v>47</v>
      </c>
      <c r="T943">
        <v>3.8</v>
      </c>
    </row>
    <row r="944" spans="1:20">
      <c r="A944" t="s">
        <v>1012</v>
      </c>
      <c r="B944" s="3">
        <v>45982</v>
      </c>
      <c r="C944" t="s">
        <v>21</v>
      </c>
      <c r="D944" t="s">
        <v>28</v>
      </c>
      <c r="E944" t="s">
        <v>70</v>
      </c>
      <c r="F944" t="s">
        <v>20</v>
      </c>
      <c r="G944" t="s">
        <v>34</v>
      </c>
      <c r="H944">
        <v>25</v>
      </c>
      <c r="I944">
        <v>432.18</v>
      </c>
      <c r="J944">
        <v>188.93</v>
      </c>
      <c r="K944">
        <f t="shared" si="84"/>
        <v>10804.5</v>
      </c>
      <c r="L944">
        <v>0.15</v>
      </c>
      <c r="M944">
        <f t="shared" si="85"/>
        <v>1620.675</v>
      </c>
      <c r="N944">
        <f t="shared" si="86"/>
        <v>9183.8250000000007</v>
      </c>
      <c r="O944">
        <f t="shared" si="87"/>
        <v>4723.25</v>
      </c>
      <c r="P944">
        <f t="shared" si="88"/>
        <v>4460.5750000000007</v>
      </c>
      <c r="Q944">
        <f t="shared" si="89"/>
        <v>48.569904152137049</v>
      </c>
      <c r="R944" t="s">
        <v>49</v>
      </c>
      <c r="S944" t="s">
        <v>41</v>
      </c>
      <c r="T944">
        <v>4.8</v>
      </c>
    </row>
    <row r="945" spans="1:20">
      <c r="A945" t="s">
        <v>1013</v>
      </c>
      <c r="B945" s="3">
        <v>45983</v>
      </c>
      <c r="C945" t="s">
        <v>21</v>
      </c>
      <c r="D945" t="s">
        <v>26</v>
      </c>
      <c r="E945" t="s">
        <v>68</v>
      </c>
      <c r="F945" t="s">
        <v>24</v>
      </c>
      <c r="G945" t="s">
        <v>29</v>
      </c>
      <c r="H945">
        <v>19</v>
      </c>
      <c r="I945">
        <v>1455.63</v>
      </c>
      <c r="J945">
        <v>777.38</v>
      </c>
      <c r="K945">
        <f t="shared" si="84"/>
        <v>27656.97</v>
      </c>
      <c r="L945">
        <v>0.1</v>
      </c>
      <c r="M945">
        <f t="shared" si="85"/>
        <v>2765.6970000000001</v>
      </c>
      <c r="N945">
        <f t="shared" si="86"/>
        <v>24891.273000000001</v>
      </c>
      <c r="O945">
        <f t="shared" si="87"/>
        <v>14770.22</v>
      </c>
      <c r="P945">
        <f t="shared" si="88"/>
        <v>10121.053000000002</v>
      </c>
      <c r="Q945">
        <f t="shared" si="89"/>
        <v>40.661050160029987</v>
      </c>
      <c r="R945" t="s">
        <v>50</v>
      </c>
      <c r="S945" t="s">
        <v>41</v>
      </c>
      <c r="T945">
        <v>4.7</v>
      </c>
    </row>
    <row r="946" spans="1:20">
      <c r="A946" t="s">
        <v>1014</v>
      </c>
      <c r="B946" s="3">
        <v>45983</v>
      </c>
      <c r="C946" t="s">
        <v>21</v>
      </c>
      <c r="D946" t="s">
        <v>30</v>
      </c>
      <c r="E946" t="s">
        <v>70</v>
      </c>
      <c r="F946" t="s">
        <v>24</v>
      </c>
      <c r="G946" t="s">
        <v>46</v>
      </c>
      <c r="H946">
        <v>18</v>
      </c>
      <c r="I946">
        <v>861.12</v>
      </c>
      <c r="J946">
        <v>567.23</v>
      </c>
      <c r="K946">
        <f t="shared" si="84"/>
        <v>15500.16</v>
      </c>
      <c r="L946">
        <v>0.15</v>
      </c>
      <c r="M946">
        <f t="shared" si="85"/>
        <v>2325.0239999999999</v>
      </c>
      <c r="N946">
        <f t="shared" si="86"/>
        <v>13175.136</v>
      </c>
      <c r="O946">
        <f t="shared" si="87"/>
        <v>10210.14</v>
      </c>
      <c r="P946">
        <f t="shared" si="88"/>
        <v>2964.996000000001</v>
      </c>
      <c r="Q946">
        <f t="shared" si="89"/>
        <v>22.504481168164041</v>
      </c>
      <c r="R946" t="s">
        <v>50</v>
      </c>
      <c r="S946" t="s">
        <v>41</v>
      </c>
      <c r="T946">
        <v>3.2</v>
      </c>
    </row>
    <row r="947" spans="1:20">
      <c r="A947" t="s">
        <v>1015</v>
      </c>
      <c r="B947" s="3">
        <v>45984</v>
      </c>
      <c r="C947" t="s">
        <v>21</v>
      </c>
      <c r="D947" t="s">
        <v>26</v>
      </c>
      <c r="E947" t="s">
        <v>86</v>
      </c>
      <c r="F947" t="s">
        <v>20</v>
      </c>
      <c r="G947" t="s">
        <v>36</v>
      </c>
      <c r="H947">
        <v>9</v>
      </c>
      <c r="I947">
        <v>775.78</v>
      </c>
      <c r="J947">
        <v>463.34</v>
      </c>
      <c r="K947">
        <f t="shared" si="84"/>
        <v>6982.0199999999995</v>
      </c>
      <c r="L947">
        <v>0.05</v>
      </c>
      <c r="M947">
        <f t="shared" si="85"/>
        <v>349.101</v>
      </c>
      <c r="N947">
        <f t="shared" si="86"/>
        <v>6632.9189999999999</v>
      </c>
      <c r="O947">
        <f t="shared" si="87"/>
        <v>4170.0599999999995</v>
      </c>
      <c r="P947">
        <f t="shared" si="88"/>
        <v>2462.8590000000004</v>
      </c>
      <c r="Q947">
        <f t="shared" si="89"/>
        <v>37.130846916719477</v>
      </c>
      <c r="R947" t="s">
        <v>49</v>
      </c>
      <c r="S947" t="s">
        <v>41</v>
      </c>
      <c r="T947">
        <v>3.9</v>
      </c>
    </row>
    <row r="948" spans="1:20">
      <c r="A948" t="s">
        <v>1016</v>
      </c>
      <c r="B948" s="3">
        <v>45984</v>
      </c>
      <c r="C948" t="s">
        <v>21</v>
      </c>
      <c r="D948" t="s">
        <v>30</v>
      </c>
      <c r="E948" t="s">
        <v>70</v>
      </c>
      <c r="F948" t="s">
        <v>22</v>
      </c>
      <c r="G948" t="s">
        <v>42</v>
      </c>
      <c r="H948">
        <v>4</v>
      </c>
      <c r="I948">
        <v>886.91</v>
      </c>
      <c r="J948">
        <v>685.25</v>
      </c>
      <c r="K948">
        <f t="shared" si="84"/>
        <v>3547.64</v>
      </c>
      <c r="L948">
        <v>0.05</v>
      </c>
      <c r="M948">
        <f t="shared" si="85"/>
        <v>177.38200000000001</v>
      </c>
      <c r="N948">
        <f t="shared" si="86"/>
        <v>3370.2579999999998</v>
      </c>
      <c r="O948">
        <f t="shared" si="87"/>
        <v>2741</v>
      </c>
      <c r="P948">
        <f t="shared" si="88"/>
        <v>629.25799999999981</v>
      </c>
      <c r="Q948">
        <f t="shared" si="89"/>
        <v>18.670914808302506</v>
      </c>
      <c r="R948" t="s">
        <v>50</v>
      </c>
      <c r="S948" t="s">
        <v>43</v>
      </c>
      <c r="T948">
        <v>3.4</v>
      </c>
    </row>
    <row r="949" spans="1:20">
      <c r="A949" t="s">
        <v>1017</v>
      </c>
      <c r="B949" s="3">
        <v>45985</v>
      </c>
      <c r="C949" t="s">
        <v>21</v>
      </c>
      <c r="D949" t="s">
        <v>26</v>
      </c>
      <c r="E949" t="s">
        <v>70</v>
      </c>
      <c r="F949" t="s">
        <v>24</v>
      </c>
      <c r="G949" t="s">
        <v>29</v>
      </c>
      <c r="H949">
        <v>42</v>
      </c>
      <c r="I949">
        <v>1361.77</v>
      </c>
      <c r="J949">
        <v>708.12</v>
      </c>
      <c r="K949">
        <f t="shared" si="84"/>
        <v>57194.34</v>
      </c>
      <c r="L949">
        <v>0</v>
      </c>
      <c r="M949">
        <f t="shared" si="85"/>
        <v>0</v>
      </c>
      <c r="N949">
        <f t="shared" si="86"/>
        <v>57194.34</v>
      </c>
      <c r="O949">
        <f t="shared" si="87"/>
        <v>29741.040000000001</v>
      </c>
      <c r="P949">
        <f t="shared" si="88"/>
        <v>27453.299999999996</v>
      </c>
      <c r="Q949">
        <f t="shared" si="89"/>
        <v>48.000029373535909</v>
      </c>
      <c r="R949" t="s">
        <v>50</v>
      </c>
      <c r="S949" t="s">
        <v>43</v>
      </c>
      <c r="T949">
        <v>3.3</v>
      </c>
    </row>
    <row r="950" spans="1:20">
      <c r="A950" t="s">
        <v>1018</v>
      </c>
      <c r="B950" s="3">
        <v>45987</v>
      </c>
      <c r="C950" t="s">
        <v>21</v>
      </c>
      <c r="D950" t="s">
        <v>32</v>
      </c>
      <c r="E950" t="s">
        <v>70</v>
      </c>
      <c r="F950" t="s">
        <v>22</v>
      </c>
      <c r="G950" t="s">
        <v>35</v>
      </c>
      <c r="H950">
        <v>40</v>
      </c>
      <c r="I950">
        <v>709.12</v>
      </c>
      <c r="J950">
        <v>443.36</v>
      </c>
      <c r="K950">
        <f t="shared" si="84"/>
        <v>28364.799999999999</v>
      </c>
      <c r="L950">
        <v>0</v>
      </c>
      <c r="M950">
        <f t="shared" si="85"/>
        <v>0</v>
      </c>
      <c r="N950">
        <f t="shared" si="86"/>
        <v>28364.799999999999</v>
      </c>
      <c r="O950">
        <f t="shared" si="87"/>
        <v>17734.400000000001</v>
      </c>
      <c r="P950">
        <f t="shared" si="88"/>
        <v>10630.399999999998</v>
      </c>
      <c r="Q950">
        <f t="shared" si="89"/>
        <v>37.477436823104689</v>
      </c>
      <c r="R950" t="s">
        <v>49</v>
      </c>
      <c r="S950" t="s">
        <v>41</v>
      </c>
      <c r="T950">
        <v>4.7</v>
      </c>
    </row>
    <row r="951" spans="1:20">
      <c r="A951" t="s">
        <v>1019</v>
      </c>
      <c r="B951" s="3">
        <v>45988</v>
      </c>
      <c r="C951" t="s">
        <v>21</v>
      </c>
      <c r="D951" t="s">
        <v>26</v>
      </c>
      <c r="E951" t="s">
        <v>70</v>
      </c>
      <c r="F951" t="s">
        <v>20</v>
      </c>
      <c r="G951" t="s">
        <v>36</v>
      </c>
      <c r="H951">
        <v>2</v>
      </c>
      <c r="I951">
        <v>488.48</v>
      </c>
      <c r="J951">
        <v>220.13</v>
      </c>
      <c r="K951">
        <f t="shared" si="84"/>
        <v>976.96</v>
      </c>
      <c r="L951">
        <v>0.05</v>
      </c>
      <c r="M951">
        <f t="shared" si="85"/>
        <v>48.848000000000006</v>
      </c>
      <c r="N951">
        <f t="shared" si="86"/>
        <v>928.11200000000008</v>
      </c>
      <c r="O951">
        <f t="shared" si="87"/>
        <v>440.26</v>
      </c>
      <c r="P951">
        <f t="shared" si="88"/>
        <v>487.85200000000009</v>
      </c>
      <c r="Q951">
        <f t="shared" si="89"/>
        <v>52.563914699950011</v>
      </c>
      <c r="R951" t="s">
        <v>51</v>
      </c>
      <c r="S951" t="s">
        <v>41</v>
      </c>
      <c r="T951">
        <v>3.7</v>
      </c>
    </row>
    <row r="952" spans="1:20">
      <c r="A952" t="s">
        <v>1020</v>
      </c>
      <c r="B952" s="3">
        <v>45988</v>
      </c>
      <c r="C952" t="s">
        <v>21</v>
      </c>
      <c r="D952" t="s">
        <v>32</v>
      </c>
      <c r="E952" t="s">
        <v>68</v>
      </c>
      <c r="F952" t="s">
        <v>24</v>
      </c>
      <c r="G952" t="s">
        <v>29</v>
      </c>
      <c r="H952">
        <v>37</v>
      </c>
      <c r="I952">
        <v>1008.01</v>
      </c>
      <c r="J952">
        <v>584.54</v>
      </c>
      <c r="K952">
        <f t="shared" si="84"/>
        <v>37296.370000000003</v>
      </c>
      <c r="L952">
        <v>0</v>
      </c>
      <c r="M952">
        <f t="shared" si="85"/>
        <v>0</v>
      </c>
      <c r="N952">
        <f t="shared" si="86"/>
        <v>37296.370000000003</v>
      </c>
      <c r="O952">
        <f t="shared" si="87"/>
        <v>21627.98</v>
      </c>
      <c r="P952">
        <f t="shared" si="88"/>
        <v>15668.390000000003</v>
      </c>
      <c r="Q952">
        <f t="shared" si="89"/>
        <v>42.010495927619772</v>
      </c>
      <c r="R952" t="s">
        <v>50</v>
      </c>
      <c r="S952" t="s">
        <v>41</v>
      </c>
      <c r="T952">
        <v>4.0999999999999996</v>
      </c>
    </row>
    <row r="953" spans="1:20">
      <c r="A953" t="s">
        <v>1021</v>
      </c>
      <c r="B953" s="3">
        <v>45990</v>
      </c>
      <c r="C953" t="s">
        <v>21</v>
      </c>
      <c r="D953" t="s">
        <v>28</v>
      </c>
      <c r="E953" t="s">
        <v>68</v>
      </c>
      <c r="F953" t="s">
        <v>20</v>
      </c>
      <c r="G953" t="s">
        <v>36</v>
      </c>
      <c r="H953">
        <v>25</v>
      </c>
      <c r="I953">
        <v>1418.7</v>
      </c>
      <c r="J953">
        <v>615.35</v>
      </c>
      <c r="K953">
        <f t="shared" si="84"/>
        <v>35467.5</v>
      </c>
      <c r="L953">
        <v>0</v>
      </c>
      <c r="M953">
        <f t="shared" si="85"/>
        <v>0</v>
      </c>
      <c r="N953">
        <f t="shared" si="86"/>
        <v>35467.5</v>
      </c>
      <c r="O953">
        <f t="shared" si="87"/>
        <v>15383.75</v>
      </c>
      <c r="P953">
        <f t="shared" si="88"/>
        <v>20083.75</v>
      </c>
      <c r="Q953">
        <f t="shared" si="89"/>
        <v>56.625784168605065</v>
      </c>
      <c r="R953" t="s">
        <v>50</v>
      </c>
      <c r="S953" t="s">
        <v>45</v>
      </c>
      <c r="T953">
        <v>4.8</v>
      </c>
    </row>
    <row r="954" spans="1:20">
      <c r="A954" t="s">
        <v>1022</v>
      </c>
      <c r="B954" s="3">
        <v>45992</v>
      </c>
      <c r="C954" t="s">
        <v>21</v>
      </c>
      <c r="D954" t="s">
        <v>30</v>
      </c>
      <c r="E954" t="s">
        <v>68</v>
      </c>
      <c r="F954" t="s">
        <v>22</v>
      </c>
      <c r="G954" t="s">
        <v>33</v>
      </c>
      <c r="H954">
        <v>31</v>
      </c>
      <c r="I954">
        <v>1345.38</v>
      </c>
      <c r="J954">
        <v>1029.1199999999999</v>
      </c>
      <c r="K954">
        <f t="shared" si="84"/>
        <v>41706.780000000006</v>
      </c>
      <c r="L954">
        <v>0.05</v>
      </c>
      <c r="M954">
        <f t="shared" si="85"/>
        <v>2085.3390000000004</v>
      </c>
      <c r="N954">
        <f t="shared" si="86"/>
        <v>39621.441000000006</v>
      </c>
      <c r="O954">
        <f t="shared" si="87"/>
        <v>31902.719999999998</v>
      </c>
      <c r="P954">
        <f t="shared" si="88"/>
        <v>7718.7210000000086</v>
      </c>
      <c r="Q954">
        <f t="shared" si="89"/>
        <v>19.481171823104585</v>
      </c>
      <c r="R954" t="s">
        <v>50</v>
      </c>
      <c r="S954" t="s">
        <v>47</v>
      </c>
      <c r="T954">
        <v>3.4</v>
      </c>
    </row>
    <row r="955" spans="1:20">
      <c r="A955" t="s">
        <v>1023</v>
      </c>
      <c r="B955" s="3">
        <v>45993</v>
      </c>
      <c r="C955" t="s">
        <v>21</v>
      </c>
      <c r="D955" t="s">
        <v>30</v>
      </c>
      <c r="E955" t="s">
        <v>70</v>
      </c>
      <c r="F955" t="s">
        <v>24</v>
      </c>
      <c r="G955" t="s">
        <v>40</v>
      </c>
      <c r="H955">
        <v>5</v>
      </c>
      <c r="I955">
        <v>232.15</v>
      </c>
      <c r="J955">
        <v>120.05</v>
      </c>
      <c r="K955">
        <f t="shared" si="84"/>
        <v>1160.75</v>
      </c>
      <c r="L955">
        <v>0.1</v>
      </c>
      <c r="M955">
        <f t="shared" si="85"/>
        <v>116.075</v>
      </c>
      <c r="N955">
        <f t="shared" si="86"/>
        <v>1044.675</v>
      </c>
      <c r="O955">
        <f t="shared" si="87"/>
        <v>600.25</v>
      </c>
      <c r="P955">
        <f t="shared" si="88"/>
        <v>444.42499999999995</v>
      </c>
      <c r="Q955">
        <f t="shared" si="89"/>
        <v>42.541938880513072</v>
      </c>
      <c r="R955" t="s">
        <v>49</v>
      </c>
      <c r="S955" t="s">
        <v>41</v>
      </c>
      <c r="T955">
        <v>3.7</v>
      </c>
    </row>
    <row r="956" spans="1:20">
      <c r="A956" t="s">
        <v>1024</v>
      </c>
      <c r="B956" s="3">
        <v>45994</v>
      </c>
      <c r="C956" t="s">
        <v>21</v>
      </c>
      <c r="D956" t="s">
        <v>30</v>
      </c>
      <c r="E956" t="s">
        <v>68</v>
      </c>
      <c r="F956" t="s">
        <v>20</v>
      </c>
      <c r="G956" t="s">
        <v>36</v>
      </c>
      <c r="H956">
        <v>19</v>
      </c>
      <c r="I956">
        <v>922.53</v>
      </c>
      <c r="J956">
        <v>456.94</v>
      </c>
      <c r="K956">
        <f t="shared" si="84"/>
        <v>17528.07</v>
      </c>
      <c r="L956">
        <v>0.25</v>
      </c>
      <c r="M956">
        <f t="shared" si="85"/>
        <v>4382.0174999999999</v>
      </c>
      <c r="N956">
        <f t="shared" si="86"/>
        <v>13146.0525</v>
      </c>
      <c r="O956">
        <f t="shared" si="87"/>
        <v>8681.86</v>
      </c>
      <c r="P956">
        <f t="shared" si="88"/>
        <v>4464.1924999999992</v>
      </c>
      <c r="Q956">
        <f t="shared" si="89"/>
        <v>33.958425922914877</v>
      </c>
      <c r="R956" t="s">
        <v>51</v>
      </c>
      <c r="S956" t="s">
        <v>41</v>
      </c>
      <c r="T956">
        <v>3.1</v>
      </c>
    </row>
    <row r="957" spans="1:20">
      <c r="A957" t="s">
        <v>1025</v>
      </c>
      <c r="B957" s="3">
        <v>45994</v>
      </c>
      <c r="C957" t="s">
        <v>21</v>
      </c>
      <c r="D957" t="s">
        <v>26</v>
      </c>
      <c r="E957" t="s">
        <v>70</v>
      </c>
      <c r="F957" t="s">
        <v>23</v>
      </c>
      <c r="G957" t="s">
        <v>37</v>
      </c>
      <c r="H957">
        <v>46</v>
      </c>
      <c r="I957">
        <v>68.17</v>
      </c>
      <c r="J957">
        <v>54.03</v>
      </c>
      <c r="K957">
        <f t="shared" si="84"/>
        <v>3135.82</v>
      </c>
      <c r="L957">
        <v>0.2</v>
      </c>
      <c r="M957">
        <f t="shared" si="85"/>
        <v>627.1640000000001</v>
      </c>
      <c r="N957">
        <f t="shared" si="86"/>
        <v>2508.6559999999999</v>
      </c>
      <c r="O957">
        <f t="shared" si="87"/>
        <v>2485.38</v>
      </c>
      <c r="P957">
        <f t="shared" si="88"/>
        <v>23.27599999999984</v>
      </c>
      <c r="Q957">
        <f t="shared" si="89"/>
        <v>0.92782749009827736</v>
      </c>
      <c r="R957" t="s">
        <v>50</v>
      </c>
      <c r="S957" t="s">
        <v>47</v>
      </c>
      <c r="T957">
        <v>4</v>
      </c>
    </row>
    <row r="958" spans="1:20">
      <c r="A958" t="s">
        <v>1026</v>
      </c>
      <c r="B958" s="3">
        <v>45995</v>
      </c>
      <c r="C958" t="s">
        <v>21</v>
      </c>
      <c r="D958" t="s">
        <v>32</v>
      </c>
      <c r="E958" t="s">
        <v>68</v>
      </c>
      <c r="F958" t="s">
        <v>24</v>
      </c>
      <c r="G958" t="s">
        <v>29</v>
      </c>
      <c r="H958">
        <v>21</v>
      </c>
      <c r="I958">
        <v>795.89</v>
      </c>
      <c r="J958">
        <v>474.52</v>
      </c>
      <c r="K958">
        <f t="shared" si="84"/>
        <v>16713.689999999999</v>
      </c>
      <c r="L958">
        <v>0.1</v>
      </c>
      <c r="M958">
        <f t="shared" si="85"/>
        <v>1671.3689999999999</v>
      </c>
      <c r="N958">
        <f t="shared" si="86"/>
        <v>15042.320999999998</v>
      </c>
      <c r="O958">
        <f t="shared" si="87"/>
        <v>9964.92</v>
      </c>
      <c r="P958">
        <f t="shared" si="88"/>
        <v>5077.400999999998</v>
      </c>
      <c r="Q958">
        <f t="shared" si="89"/>
        <v>33.754106164866435</v>
      </c>
      <c r="R958" t="s">
        <v>50</v>
      </c>
      <c r="S958" t="s">
        <v>47</v>
      </c>
      <c r="T958">
        <v>3.7</v>
      </c>
    </row>
    <row r="959" spans="1:20">
      <c r="A959" t="s">
        <v>1027</v>
      </c>
      <c r="B959" s="3">
        <v>45995</v>
      </c>
      <c r="C959" t="s">
        <v>21</v>
      </c>
      <c r="D959" t="s">
        <v>32</v>
      </c>
      <c r="E959" t="s">
        <v>70</v>
      </c>
      <c r="F959" t="s">
        <v>22</v>
      </c>
      <c r="G959" t="s">
        <v>42</v>
      </c>
      <c r="H959">
        <v>46</v>
      </c>
      <c r="I959">
        <v>674.17</v>
      </c>
      <c r="J959">
        <v>533</v>
      </c>
      <c r="K959">
        <f t="shared" si="84"/>
        <v>31011.82</v>
      </c>
      <c r="L959">
        <v>0.05</v>
      </c>
      <c r="M959">
        <f t="shared" si="85"/>
        <v>1550.5910000000001</v>
      </c>
      <c r="N959">
        <f t="shared" si="86"/>
        <v>29461.228999999999</v>
      </c>
      <c r="O959">
        <f t="shared" si="87"/>
        <v>24518</v>
      </c>
      <c r="P959">
        <f t="shared" si="88"/>
        <v>4943.2289999999994</v>
      </c>
      <c r="Q959">
        <f t="shared" si="89"/>
        <v>16.778760315803524</v>
      </c>
      <c r="R959" t="s">
        <v>51</v>
      </c>
      <c r="S959" t="s">
        <v>41</v>
      </c>
      <c r="T959">
        <v>3.7</v>
      </c>
    </row>
    <row r="960" spans="1:20">
      <c r="A960" t="s">
        <v>1028</v>
      </c>
      <c r="B960" s="3">
        <v>45995</v>
      </c>
      <c r="C960" t="s">
        <v>21</v>
      </c>
      <c r="D960" t="s">
        <v>26</v>
      </c>
      <c r="E960" t="s">
        <v>68</v>
      </c>
      <c r="F960" t="s">
        <v>23</v>
      </c>
      <c r="G960" t="s">
        <v>44</v>
      </c>
      <c r="H960">
        <v>17</v>
      </c>
      <c r="I960">
        <v>1284.1099999999999</v>
      </c>
      <c r="J960">
        <v>1059.46</v>
      </c>
      <c r="K960">
        <f t="shared" si="84"/>
        <v>21829.87</v>
      </c>
      <c r="L960">
        <v>0.1</v>
      </c>
      <c r="M960">
        <f t="shared" si="85"/>
        <v>2182.9870000000001</v>
      </c>
      <c r="N960">
        <f t="shared" si="86"/>
        <v>19646.882999999998</v>
      </c>
      <c r="O960">
        <f t="shared" si="87"/>
        <v>18010.82</v>
      </c>
      <c r="P960">
        <f t="shared" si="88"/>
        <v>1636.0629999999983</v>
      </c>
      <c r="Q960">
        <f t="shared" si="89"/>
        <v>8.3273412886919438</v>
      </c>
      <c r="R960" t="s">
        <v>49</v>
      </c>
      <c r="S960" t="s">
        <v>41</v>
      </c>
      <c r="T960">
        <v>3.5</v>
      </c>
    </row>
    <row r="961" spans="1:20">
      <c r="A961" t="s">
        <v>1029</v>
      </c>
      <c r="B961" s="3">
        <v>45996</v>
      </c>
      <c r="C961" t="s">
        <v>21</v>
      </c>
      <c r="D961" t="s">
        <v>26</v>
      </c>
      <c r="E961" t="s">
        <v>70</v>
      </c>
      <c r="F961" t="s">
        <v>22</v>
      </c>
      <c r="G961" t="s">
        <v>35</v>
      </c>
      <c r="H961">
        <v>44</v>
      </c>
      <c r="I961">
        <v>1146.45</v>
      </c>
      <c r="J961">
        <v>747.94</v>
      </c>
      <c r="K961">
        <f t="shared" si="84"/>
        <v>50443.8</v>
      </c>
      <c r="L961">
        <v>0.15</v>
      </c>
      <c r="M961">
        <f t="shared" si="85"/>
        <v>7566.57</v>
      </c>
      <c r="N961">
        <f t="shared" si="86"/>
        <v>42877.23</v>
      </c>
      <c r="O961">
        <f t="shared" si="87"/>
        <v>32909.360000000001</v>
      </c>
      <c r="P961">
        <f t="shared" si="88"/>
        <v>9967.8700000000026</v>
      </c>
      <c r="Q961">
        <f t="shared" si="89"/>
        <v>23.247467245435402</v>
      </c>
      <c r="R961" t="s">
        <v>50</v>
      </c>
      <c r="S961" t="s">
        <v>41</v>
      </c>
      <c r="T961">
        <v>4.3</v>
      </c>
    </row>
    <row r="962" spans="1:20">
      <c r="A962" t="s">
        <v>1030</v>
      </c>
      <c r="B962" s="3">
        <v>45997</v>
      </c>
      <c r="C962" t="s">
        <v>21</v>
      </c>
      <c r="D962" t="s">
        <v>30</v>
      </c>
      <c r="E962" t="s">
        <v>68</v>
      </c>
      <c r="F962" t="s">
        <v>20</v>
      </c>
      <c r="G962" t="s">
        <v>31</v>
      </c>
      <c r="H962">
        <v>43</v>
      </c>
      <c r="I962">
        <v>1096.42</v>
      </c>
      <c r="J962">
        <v>635.16</v>
      </c>
      <c r="K962">
        <f t="shared" ref="K962:K1001" si="90">H962*I962</f>
        <v>47146.060000000005</v>
      </c>
      <c r="L962">
        <v>0</v>
      </c>
      <c r="M962">
        <f t="shared" ref="M962:M1025" si="91">K962*L962</f>
        <v>0</v>
      </c>
      <c r="N962">
        <f t="shared" ref="N962:N1025" si="92">K962-M962</f>
        <v>47146.060000000005</v>
      </c>
      <c r="O962">
        <f t="shared" ref="O962:O1001" si="93">H962*J962</f>
        <v>27311.879999999997</v>
      </c>
      <c r="P962">
        <f t="shared" ref="P962:P1025" si="94">N962-O962</f>
        <v>19834.180000000008</v>
      </c>
      <c r="Q962">
        <f t="shared" ref="Q962:Q1025" si="95">IFERROR(P962/N962*100,0)</f>
        <v>42.069644844129087</v>
      </c>
      <c r="R962" t="s">
        <v>49</v>
      </c>
      <c r="S962" t="s">
        <v>43</v>
      </c>
      <c r="T962">
        <v>4</v>
      </c>
    </row>
    <row r="963" spans="1:20">
      <c r="A963" t="s">
        <v>1031</v>
      </c>
      <c r="B963" s="3">
        <v>45998</v>
      </c>
      <c r="C963" t="s">
        <v>21</v>
      </c>
      <c r="D963" t="s">
        <v>28</v>
      </c>
      <c r="E963" t="s">
        <v>68</v>
      </c>
      <c r="F963" t="s">
        <v>20</v>
      </c>
      <c r="G963" t="s">
        <v>31</v>
      </c>
      <c r="H963">
        <v>10</v>
      </c>
      <c r="I963">
        <v>155.30000000000001</v>
      </c>
      <c r="J963">
        <v>69.760000000000005</v>
      </c>
      <c r="K963">
        <f t="shared" si="90"/>
        <v>1553</v>
      </c>
      <c r="L963">
        <v>0.05</v>
      </c>
      <c r="M963">
        <f t="shared" si="91"/>
        <v>77.650000000000006</v>
      </c>
      <c r="N963">
        <f t="shared" si="92"/>
        <v>1475.35</v>
      </c>
      <c r="O963">
        <f t="shared" si="93"/>
        <v>697.6</v>
      </c>
      <c r="P963">
        <f t="shared" si="94"/>
        <v>777.74999999999989</v>
      </c>
      <c r="Q963">
        <f t="shared" si="95"/>
        <v>52.71630460568678</v>
      </c>
      <c r="R963" t="s">
        <v>49</v>
      </c>
      <c r="S963" t="s">
        <v>41</v>
      </c>
      <c r="T963">
        <v>4.2</v>
      </c>
    </row>
    <row r="964" spans="1:20">
      <c r="A964" t="s">
        <v>1032</v>
      </c>
      <c r="B964" s="3">
        <v>45998</v>
      </c>
      <c r="C964" t="s">
        <v>21</v>
      </c>
      <c r="D964" t="s">
        <v>32</v>
      </c>
      <c r="E964" t="s">
        <v>68</v>
      </c>
      <c r="F964" t="s">
        <v>24</v>
      </c>
      <c r="G964" t="s">
        <v>46</v>
      </c>
      <c r="H964">
        <v>48</v>
      </c>
      <c r="I964">
        <v>1194.56</v>
      </c>
      <c r="J964">
        <v>777.58</v>
      </c>
      <c r="K964">
        <f t="shared" si="90"/>
        <v>57338.879999999997</v>
      </c>
      <c r="L964">
        <v>0.15</v>
      </c>
      <c r="M964">
        <f t="shared" si="91"/>
        <v>8600.8319999999985</v>
      </c>
      <c r="N964">
        <f t="shared" si="92"/>
        <v>48738.047999999995</v>
      </c>
      <c r="O964">
        <f t="shared" si="93"/>
        <v>37323.840000000004</v>
      </c>
      <c r="P964">
        <f t="shared" si="94"/>
        <v>11414.207999999991</v>
      </c>
      <c r="Q964">
        <f t="shared" si="95"/>
        <v>23.419501741226881</v>
      </c>
      <c r="R964" t="s">
        <v>49</v>
      </c>
      <c r="S964" t="s">
        <v>41</v>
      </c>
      <c r="T964">
        <v>3.2</v>
      </c>
    </row>
    <row r="965" spans="1:20">
      <c r="A965" t="s">
        <v>1033</v>
      </c>
      <c r="B965" s="3">
        <v>45999</v>
      </c>
      <c r="C965" t="s">
        <v>21</v>
      </c>
      <c r="D965" t="s">
        <v>32</v>
      </c>
      <c r="E965" t="s">
        <v>70</v>
      </c>
      <c r="F965" t="s">
        <v>23</v>
      </c>
      <c r="G965" t="s">
        <v>37</v>
      </c>
      <c r="H965">
        <v>33</v>
      </c>
      <c r="I965">
        <v>113.26</v>
      </c>
      <c r="J965">
        <v>89.66</v>
      </c>
      <c r="K965">
        <f t="shared" si="90"/>
        <v>3737.5800000000004</v>
      </c>
      <c r="L965">
        <v>0</v>
      </c>
      <c r="M965">
        <f t="shared" si="91"/>
        <v>0</v>
      </c>
      <c r="N965">
        <f t="shared" si="92"/>
        <v>3737.5800000000004</v>
      </c>
      <c r="O965">
        <f t="shared" si="93"/>
        <v>2958.7799999999997</v>
      </c>
      <c r="P965">
        <f t="shared" si="94"/>
        <v>778.80000000000064</v>
      </c>
      <c r="Q965">
        <f t="shared" si="95"/>
        <v>20.837012184354599</v>
      </c>
      <c r="R965" t="s">
        <v>51</v>
      </c>
      <c r="S965" t="s">
        <v>43</v>
      </c>
      <c r="T965">
        <v>3.2</v>
      </c>
    </row>
    <row r="966" spans="1:20">
      <c r="A966" t="s">
        <v>1034</v>
      </c>
      <c r="B966" s="3">
        <v>45999</v>
      </c>
      <c r="C966" t="s">
        <v>21</v>
      </c>
      <c r="D966" t="s">
        <v>30</v>
      </c>
      <c r="E966" t="s">
        <v>68</v>
      </c>
      <c r="F966" t="s">
        <v>22</v>
      </c>
      <c r="G966" t="s">
        <v>35</v>
      </c>
      <c r="H966">
        <v>38</v>
      </c>
      <c r="I966">
        <v>473.72</v>
      </c>
      <c r="J966">
        <v>351.62</v>
      </c>
      <c r="K966">
        <f t="shared" si="90"/>
        <v>18001.36</v>
      </c>
      <c r="L966">
        <v>0.05</v>
      </c>
      <c r="M966">
        <f t="shared" si="91"/>
        <v>900.0680000000001</v>
      </c>
      <c r="N966">
        <f t="shared" si="92"/>
        <v>17101.292000000001</v>
      </c>
      <c r="O966">
        <f t="shared" si="93"/>
        <v>13361.56</v>
      </c>
      <c r="P966">
        <f t="shared" si="94"/>
        <v>3739.7320000000018</v>
      </c>
      <c r="Q966">
        <f t="shared" si="95"/>
        <v>21.868125519405211</v>
      </c>
      <c r="R966" t="s">
        <v>51</v>
      </c>
      <c r="S966" t="s">
        <v>41</v>
      </c>
      <c r="T966">
        <v>4.2</v>
      </c>
    </row>
    <row r="967" spans="1:20">
      <c r="A967" t="s">
        <v>1035</v>
      </c>
      <c r="B967" s="3">
        <v>46000</v>
      </c>
      <c r="C967" t="s">
        <v>21</v>
      </c>
      <c r="D967" t="s">
        <v>28</v>
      </c>
      <c r="E967" t="s">
        <v>68</v>
      </c>
      <c r="F967" t="s">
        <v>22</v>
      </c>
      <c r="G967" t="s">
        <v>33</v>
      </c>
      <c r="H967">
        <v>35</v>
      </c>
      <c r="I967">
        <v>126.34</v>
      </c>
      <c r="J967">
        <v>92.08</v>
      </c>
      <c r="K967">
        <f t="shared" si="90"/>
        <v>4421.9000000000005</v>
      </c>
      <c r="L967">
        <v>0.05</v>
      </c>
      <c r="M967">
        <f t="shared" si="91"/>
        <v>221.09500000000003</v>
      </c>
      <c r="N967">
        <f t="shared" si="92"/>
        <v>4200.8050000000003</v>
      </c>
      <c r="O967">
        <f t="shared" si="93"/>
        <v>3222.7999999999997</v>
      </c>
      <c r="P967">
        <f t="shared" si="94"/>
        <v>978.00500000000056</v>
      </c>
      <c r="Q967">
        <f t="shared" si="95"/>
        <v>23.281371070544825</v>
      </c>
      <c r="R967" t="s">
        <v>50</v>
      </c>
      <c r="S967" t="s">
        <v>45</v>
      </c>
      <c r="T967">
        <v>4</v>
      </c>
    </row>
    <row r="968" spans="1:20">
      <c r="A968" t="s">
        <v>1036</v>
      </c>
      <c r="B968" s="3">
        <v>46001</v>
      </c>
      <c r="C968" t="s">
        <v>21</v>
      </c>
      <c r="D968" t="s">
        <v>30</v>
      </c>
      <c r="E968" t="s">
        <v>86</v>
      </c>
      <c r="F968" t="s">
        <v>23</v>
      </c>
      <c r="G968" t="s">
        <v>44</v>
      </c>
      <c r="H968">
        <v>22</v>
      </c>
      <c r="I968">
        <v>388.42</v>
      </c>
      <c r="J968">
        <v>288.26</v>
      </c>
      <c r="K968">
        <f t="shared" si="90"/>
        <v>8545.24</v>
      </c>
      <c r="L968">
        <v>0</v>
      </c>
      <c r="M968">
        <f t="shared" si="91"/>
        <v>0</v>
      </c>
      <c r="N968">
        <f t="shared" si="92"/>
        <v>8545.24</v>
      </c>
      <c r="O968">
        <f t="shared" si="93"/>
        <v>6341.7199999999993</v>
      </c>
      <c r="P968">
        <f t="shared" si="94"/>
        <v>2203.5200000000004</v>
      </c>
      <c r="Q968">
        <f t="shared" si="95"/>
        <v>25.786519746665988</v>
      </c>
      <c r="R968" t="s">
        <v>50</v>
      </c>
      <c r="S968" t="s">
        <v>41</v>
      </c>
      <c r="T968">
        <v>4.3</v>
      </c>
    </row>
    <row r="969" spans="1:20">
      <c r="A969" t="s">
        <v>1037</v>
      </c>
      <c r="B969" s="3">
        <v>46001</v>
      </c>
      <c r="C969" t="s">
        <v>21</v>
      </c>
      <c r="D969" t="s">
        <v>28</v>
      </c>
      <c r="E969" t="s">
        <v>70</v>
      </c>
      <c r="F969" t="s">
        <v>23</v>
      </c>
      <c r="G969" t="s">
        <v>44</v>
      </c>
      <c r="H969">
        <v>14</v>
      </c>
      <c r="I969">
        <v>554.48</v>
      </c>
      <c r="J969">
        <v>446.6</v>
      </c>
      <c r="K969">
        <f t="shared" si="90"/>
        <v>7762.72</v>
      </c>
      <c r="L969">
        <v>0</v>
      </c>
      <c r="M969">
        <f t="shared" si="91"/>
        <v>0</v>
      </c>
      <c r="N969">
        <f t="shared" si="92"/>
        <v>7762.72</v>
      </c>
      <c r="O969">
        <f t="shared" si="93"/>
        <v>6252.4000000000005</v>
      </c>
      <c r="P969">
        <f t="shared" si="94"/>
        <v>1510.3199999999997</v>
      </c>
      <c r="Q969">
        <f t="shared" si="95"/>
        <v>19.45606694560669</v>
      </c>
      <c r="R969" t="s">
        <v>50</v>
      </c>
      <c r="S969" t="s">
        <v>41</v>
      </c>
      <c r="T969">
        <v>3.1</v>
      </c>
    </row>
    <row r="970" spans="1:20">
      <c r="A970" t="s">
        <v>1038</v>
      </c>
      <c r="B970" s="3">
        <v>46001</v>
      </c>
      <c r="C970" t="s">
        <v>21</v>
      </c>
      <c r="D970" t="s">
        <v>26</v>
      </c>
      <c r="E970" t="s">
        <v>86</v>
      </c>
      <c r="F970" t="s">
        <v>24</v>
      </c>
      <c r="G970" t="s">
        <v>46</v>
      </c>
      <c r="H970">
        <v>49</v>
      </c>
      <c r="I970">
        <v>1392.65</v>
      </c>
      <c r="J970">
        <v>817.09</v>
      </c>
      <c r="K970">
        <f t="shared" si="90"/>
        <v>68239.850000000006</v>
      </c>
      <c r="L970">
        <v>0</v>
      </c>
      <c r="M970">
        <f t="shared" si="91"/>
        <v>0</v>
      </c>
      <c r="N970">
        <f t="shared" si="92"/>
        <v>68239.850000000006</v>
      </c>
      <c r="O970">
        <f t="shared" si="93"/>
        <v>40037.410000000003</v>
      </c>
      <c r="P970">
        <f t="shared" si="94"/>
        <v>28202.440000000002</v>
      </c>
      <c r="Q970">
        <f t="shared" si="95"/>
        <v>41.328402685527593</v>
      </c>
      <c r="R970" t="s">
        <v>51</v>
      </c>
      <c r="S970" t="s">
        <v>43</v>
      </c>
      <c r="T970">
        <v>3.4</v>
      </c>
    </row>
    <row r="971" spans="1:20">
      <c r="A971" t="s">
        <v>1039</v>
      </c>
      <c r="B971" s="3">
        <v>46001</v>
      </c>
      <c r="C971" t="s">
        <v>21</v>
      </c>
      <c r="D971" t="s">
        <v>26</v>
      </c>
      <c r="E971" t="s">
        <v>68</v>
      </c>
      <c r="F971" t="s">
        <v>20</v>
      </c>
      <c r="G971" t="s">
        <v>36</v>
      </c>
      <c r="H971">
        <v>27</v>
      </c>
      <c r="I971">
        <v>1280.1500000000001</v>
      </c>
      <c r="J971">
        <v>615.74</v>
      </c>
      <c r="K971">
        <f t="shared" si="90"/>
        <v>34564.050000000003</v>
      </c>
      <c r="L971">
        <v>0</v>
      </c>
      <c r="M971">
        <f t="shared" si="91"/>
        <v>0</v>
      </c>
      <c r="N971">
        <f t="shared" si="92"/>
        <v>34564.050000000003</v>
      </c>
      <c r="O971">
        <f t="shared" si="93"/>
        <v>16624.98</v>
      </c>
      <c r="P971">
        <f t="shared" si="94"/>
        <v>17939.070000000003</v>
      </c>
      <c r="Q971">
        <f t="shared" si="95"/>
        <v>51.900949107526465</v>
      </c>
      <c r="R971" t="s">
        <v>49</v>
      </c>
      <c r="S971" t="s">
        <v>41</v>
      </c>
      <c r="T971">
        <v>3.1</v>
      </c>
    </row>
    <row r="972" spans="1:20">
      <c r="A972" t="s">
        <v>1040</v>
      </c>
      <c r="B972" s="3">
        <v>46003</v>
      </c>
      <c r="C972" t="s">
        <v>21</v>
      </c>
      <c r="D972" t="s">
        <v>28</v>
      </c>
      <c r="E972" t="s">
        <v>68</v>
      </c>
      <c r="F972" t="s">
        <v>24</v>
      </c>
      <c r="G972" t="s">
        <v>40</v>
      </c>
      <c r="H972">
        <v>21</v>
      </c>
      <c r="I972">
        <v>364.1</v>
      </c>
      <c r="J972">
        <v>206.54</v>
      </c>
      <c r="K972">
        <f t="shared" si="90"/>
        <v>7646.1</v>
      </c>
      <c r="L972">
        <v>0</v>
      </c>
      <c r="M972">
        <f t="shared" si="91"/>
        <v>0</v>
      </c>
      <c r="N972">
        <f t="shared" si="92"/>
        <v>7646.1</v>
      </c>
      <c r="O972">
        <f t="shared" si="93"/>
        <v>4337.34</v>
      </c>
      <c r="P972">
        <f t="shared" si="94"/>
        <v>3308.76</v>
      </c>
      <c r="Q972">
        <f t="shared" si="95"/>
        <v>43.273825872013184</v>
      </c>
      <c r="R972" t="s">
        <v>49</v>
      </c>
      <c r="S972" t="s">
        <v>47</v>
      </c>
      <c r="T972">
        <v>3.6</v>
      </c>
    </row>
    <row r="973" spans="1:20">
      <c r="A973" t="s">
        <v>1041</v>
      </c>
      <c r="B973" s="3">
        <v>46004</v>
      </c>
      <c r="C973" t="s">
        <v>21</v>
      </c>
      <c r="D973" t="s">
        <v>32</v>
      </c>
      <c r="E973" t="s">
        <v>86</v>
      </c>
      <c r="F973" t="s">
        <v>23</v>
      </c>
      <c r="G973" t="s">
        <v>44</v>
      </c>
      <c r="H973">
        <v>37</v>
      </c>
      <c r="I973">
        <v>713.39</v>
      </c>
      <c r="J973">
        <v>506.13</v>
      </c>
      <c r="K973">
        <f t="shared" si="90"/>
        <v>26395.43</v>
      </c>
      <c r="L973">
        <v>0.15</v>
      </c>
      <c r="M973">
        <f t="shared" si="91"/>
        <v>3959.3145</v>
      </c>
      <c r="N973">
        <f t="shared" si="92"/>
        <v>22436.1155</v>
      </c>
      <c r="O973">
        <f t="shared" si="93"/>
        <v>18726.810000000001</v>
      </c>
      <c r="P973">
        <f t="shared" si="94"/>
        <v>3709.3054999999986</v>
      </c>
      <c r="Q973">
        <f t="shared" si="95"/>
        <v>16.532743825463005</v>
      </c>
      <c r="R973" t="s">
        <v>49</v>
      </c>
      <c r="S973" t="s">
        <v>43</v>
      </c>
      <c r="T973">
        <v>4.4000000000000004</v>
      </c>
    </row>
    <row r="974" spans="1:20">
      <c r="A974" t="s">
        <v>1042</v>
      </c>
      <c r="B974" s="3">
        <v>46004</v>
      </c>
      <c r="C974" t="s">
        <v>21</v>
      </c>
      <c r="D974" t="s">
        <v>32</v>
      </c>
      <c r="E974" t="s">
        <v>68</v>
      </c>
      <c r="F974" t="s">
        <v>20</v>
      </c>
      <c r="G974" t="s">
        <v>34</v>
      </c>
      <c r="H974">
        <v>49</v>
      </c>
      <c r="I974">
        <v>66.36</v>
      </c>
      <c r="J974">
        <v>27.66</v>
      </c>
      <c r="K974">
        <f t="shared" si="90"/>
        <v>3251.64</v>
      </c>
      <c r="L974">
        <v>0</v>
      </c>
      <c r="M974">
        <f t="shared" si="91"/>
        <v>0</v>
      </c>
      <c r="N974">
        <f t="shared" si="92"/>
        <v>3251.64</v>
      </c>
      <c r="O974">
        <f t="shared" si="93"/>
        <v>1355.34</v>
      </c>
      <c r="P974">
        <f t="shared" si="94"/>
        <v>1896.3</v>
      </c>
      <c r="Q974">
        <f t="shared" si="95"/>
        <v>58.31826401446655</v>
      </c>
      <c r="R974" t="s">
        <v>50</v>
      </c>
      <c r="S974" t="s">
        <v>41</v>
      </c>
      <c r="T974">
        <v>3.9</v>
      </c>
    </row>
    <row r="975" spans="1:20">
      <c r="A975" t="s">
        <v>1043</v>
      </c>
      <c r="B975" s="3">
        <v>46005</v>
      </c>
      <c r="C975" t="s">
        <v>21</v>
      </c>
      <c r="D975" t="s">
        <v>30</v>
      </c>
      <c r="E975" t="s">
        <v>70</v>
      </c>
      <c r="F975" t="s">
        <v>22</v>
      </c>
      <c r="G975" t="s">
        <v>35</v>
      </c>
      <c r="H975">
        <v>10</v>
      </c>
      <c r="I975">
        <v>555.32000000000005</v>
      </c>
      <c r="J975">
        <v>420.38</v>
      </c>
      <c r="K975">
        <f t="shared" si="90"/>
        <v>5553.2000000000007</v>
      </c>
      <c r="L975">
        <v>0.05</v>
      </c>
      <c r="M975">
        <f t="shared" si="91"/>
        <v>277.66000000000003</v>
      </c>
      <c r="N975">
        <f t="shared" si="92"/>
        <v>5275.5400000000009</v>
      </c>
      <c r="O975">
        <f t="shared" si="93"/>
        <v>4203.8</v>
      </c>
      <c r="P975">
        <f t="shared" si="94"/>
        <v>1071.7400000000007</v>
      </c>
      <c r="Q975">
        <f t="shared" si="95"/>
        <v>20.315266304492059</v>
      </c>
      <c r="R975" t="s">
        <v>50</v>
      </c>
      <c r="S975" t="s">
        <v>45</v>
      </c>
      <c r="T975">
        <v>3.8</v>
      </c>
    </row>
    <row r="976" spans="1:20">
      <c r="A976" t="s">
        <v>1044</v>
      </c>
      <c r="B976" s="3">
        <v>46005</v>
      </c>
      <c r="C976" t="s">
        <v>21</v>
      </c>
      <c r="D976" t="s">
        <v>30</v>
      </c>
      <c r="E976" t="s">
        <v>68</v>
      </c>
      <c r="F976" t="s">
        <v>23</v>
      </c>
      <c r="G976" t="s">
        <v>38</v>
      </c>
      <c r="H976">
        <v>4</v>
      </c>
      <c r="I976">
        <v>98.59</v>
      </c>
      <c r="J976">
        <v>83.34</v>
      </c>
      <c r="K976">
        <f t="shared" si="90"/>
        <v>394.36</v>
      </c>
      <c r="L976">
        <v>0</v>
      </c>
      <c r="M976">
        <f t="shared" si="91"/>
        <v>0</v>
      </c>
      <c r="N976">
        <f t="shared" si="92"/>
        <v>394.36</v>
      </c>
      <c r="O976">
        <f t="shared" si="93"/>
        <v>333.36</v>
      </c>
      <c r="P976">
        <f t="shared" si="94"/>
        <v>61</v>
      </c>
      <c r="Q976">
        <f t="shared" si="95"/>
        <v>15.468100213003346</v>
      </c>
      <c r="R976" t="s">
        <v>49</v>
      </c>
      <c r="S976" t="s">
        <v>41</v>
      </c>
      <c r="T976">
        <v>3.6</v>
      </c>
    </row>
    <row r="977" spans="1:20">
      <c r="A977" t="s">
        <v>1045</v>
      </c>
      <c r="B977" s="3">
        <v>46006</v>
      </c>
      <c r="C977" t="s">
        <v>21</v>
      </c>
      <c r="D977" t="s">
        <v>30</v>
      </c>
      <c r="E977" t="s">
        <v>68</v>
      </c>
      <c r="F977" t="s">
        <v>20</v>
      </c>
      <c r="G977" t="s">
        <v>36</v>
      </c>
      <c r="H977">
        <v>19</v>
      </c>
      <c r="I977">
        <v>1457.2</v>
      </c>
      <c r="J977">
        <v>778.78</v>
      </c>
      <c r="K977">
        <f t="shared" si="90"/>
        <v>27686.799999999999</v>
      </c>
      <c r="L977">
        <v>0.2</v>
      </c>
      <c r="M977">
        <f t="shared" si="91"/>
        <v>5537.3600000000006</v>
      </c>
      <c r="N977">
        <f t="shared" si="92"/>
        <v>22149.439999999999</v>
      </c>
      <c r="O977">
        <f t="shared" si="93"/>
        <v>14796.82</v>
      </c>
      <c r="P977">
        <f t="shared" si="94"/>
        <v>7352.619999999999</v>
      </c>
      <c r="Q977">
        <f t="shared" si="95"/>
        <v>33.195511940708208</v>
      </c>
      <c r="R977" t="s">
        <v>49</v>
      </c>
      <c r="S977" t="s">
        <v>47</v>
      </c>
      <c r="T977">
        <v>3.9</v>
      </c>
    </row>
    <row r="978" spans="1:20">
      <c r="A978" t="s">
        <v>1046</v>
      </c>
      <c r="B978" s="3">
        <v>46006</v>
      </c>
      <c r="C978" t="s">
        <v>21</v>
      </c>
      <c r="D978" t="s">
        <v>26</v>
      </c>
      <c r="E978" t="s">
        <v>68</v>
      </c>
      <c r="F978" t="s">
        <v>24</v>
      </c>
      <c r="G978" t="s">
        <v>46</v>
      </c>
      <c r="H978">
        <v>38</v>
      </c>
      <c r="I978">
        <v>320.16000000000003</v>
      </c>
      <c r="J978">
        <v>186.01</v>
      </c>
      <c r="K978">
        <f t="shared" si="90"/>
        <v>12166.080000000002</v>
      </c>
      <c r="L978">
        <v>0</v>
      </c>
      <c r="M978">
        <f t="shared" si="91"/>
        <v>0</v>
      </c>
      <c r="N978">
        <f t="shared" si="92"/>
        <v>12166.080000000002</v>
      </c>
      <c r="O978">
        <f t="shared" si="93"/>
        <v>7068.3799999999992</v>
      </c>
      <c r="P978">
        <f t="shared" si="94"/>
        <v>5097.7000000000025</v>
      </c>
      <c r="Q978">
        <f t="shared" si="95"/>
        <v>41.90092453773115</v>
      </c>
      <c r="R978" t="s">
        <v>50</v>
      </c>
      <c r="S978" t="s">
        <v>41</v>
      </c>
      <c r="T978">
        <v>3.7</v>
      </c>
    </row>
    <row r="979" spans="1:20">
      <c r="A979" t="s">
        <v>1047</v>
      </c>
      <c r="B979" s="3">
        <v>46007</v>
      </c>
      <c r="C979" t="s">
        <v>21</v>
      </c>
      <c r="D979" t="s">
        <v>30</v>
      </c>
      <c r="E979" t="s">
        <v>68</v>
      </c>
      <c r="F979" t="s">
        <v>22</v>
      </c>
      <c r="G979" t="s">
        <v>42</v>
      </c>
      <c r="H979">
        <v>27</v>
      </c>
      <c r="I979">
        <v>300.04000000000002</v>
      </c>
      <c r="J979">
        <v>236.95</v>
      </c>
      <c r="K979">
        <f t="shared" si="90"/>
        <v>8101.0800000000008</v>
      </c>
      <c r="L979">
        <v>0.05</v>
      </c>
      <c r="M979">
        <f t="shared" si="91"/>
        <v>405.05400000000009</v>
      </c>
      <c r="N979">
        <f t="shared" si="92"/>
        <v>7696.0260000000007</v>
      </c>
      <c r="O979">
        <f t="shared" si="93"/>
        <v>6397.65</v>
      </c>
      <c r="P979">
        <f t="shared" si="94"/>
        <v>1298.3760000000011</v>
      </c>
      <c r="Q979">
        <f t="shared" si="95"/>
        <v>16.870733025070354</v>
      </c>
      <c r="R979" t="s">
        <v>49</v>
      </c>
      <c r="S979" t="s">
        <v>43</v>
      </c>
      <c r="T979">
        <v>3.1</v>
      </c>
    </row>
    <row r="980" spans="1:20">
      <c r="A980" t="s">
        <v>1048</v>
      </c>
      <c r="B980" s="3">
        <v>46007</v>
      </c>
      <c r="C980" t="s">
        <v>21</v>
      </c>
      <c r="D980" t="s">
        <v>28</v>
      </c>
      <c r="E980" t="s">
        <v>68</v>
      </c>
      <c r="F980" t="s">
        <v>22</v>
      </c>
      <c r="G980" t="s">
        <v>33</v>
      </c>
      <c r="H980">
        <v>11</v>
      </c>
      <c r="I980">
        <v>867.63</v>
      </c>
      <c r="J980">
        <v>607.97</v>
      </c>
      <c r="K980">
        <f t="shared" si="90"/>
        <v>9543.93</v>
      </c>
      <c r="L980">
        <v>0.2</v>
      </c>
      <c r="M980">
        <f t="shared" si="91"/>
        <v>1908.7860000000001</v>
      </c>
      <c r="N980">
        <f t="shared" si="92"/>
        <v>7635.1440000000002</v>
      </c>
      <c r="O980">
        <f t="shared" si="93"/>
        <v>6687.67</v>
      </c>
      <c r="P980">
        <f t="shared" si="94"/>
        <v>947.47400000000016</v>
      </c>
      <c r="Q980">
        <f t="shared" si="95"/>
        <v>12.409379574242479</v>
      </c>
      <c r="R980" t="s">
        <v>50</v>
      </c>
      <c r="S980" t="s">
        <v>41</v>
      </c>
      <c r="T980">
        <v>4.5</v>
      </c>
    </row>
    <row r="981" spans="1:20">
      <c r="A981" t="s">
        <v>1049</v>
      </c>
      <c r="B981" s="3">
        <v>46008</v>
      </c>
      <c r="C981" t="s">
        <v>21</v>
      </c>
      <c r="D981" t="s">
        <v>26</v>
      </c>
      <c r="E981" t="s">
        <v>68</v>
      </c>
      <c r="F981" t="s">
        <v>22</v>
      </c>
      <c r="G981" t="s">
        <v>42</v>
      </c>
      <c r="H981">
        <v>15</v>
      </c>
      <c r="I981">
        <v>397.79</v>
      </c>
      <c r="J981">
        <v>270.75</v>
      </c>
      <c r="K981">
        <f t="shared" si="90"/>
        <v>5966.85</v>
      </c>
      <c r="L981">
        <v>0.15</v>
      </c>
      <c r="M981">
        <f t="shared" si="91"/>
        <v>895.02750000000003</v>
      </c>
      <c r="N981">
        <f t="shared" si="92"/>
        <v>5071.8225000000002</v>
      </c>
      <c r="O981">
        <f t="shared" si="93"/>
        <v>4061.25</v>
      </c>
      <c r="P981">
        <f t="shared" si="94"/>
        <v>1010.5725000000002</v>
      </c>
      <c r="Q981">
        <f t="shared" si="95"/>
        <v>19.925233976543939</v>
      </c>
      <c r="R981" t="s">
        <v>51</v>
      </c>
      <c r="S981" t="s">
        <v>41</v>
      </c>
      <c r="T981">
        <v>4.5</v>
      </c>
    </row>
    <row r="982" spans="1:20">
      <c r="A982" t="s">
        <v>1050</v>
      </c>
      <c r="B982" s="3">
        <v>46010</v>
      </c>
      <c r="C982" t="s">
        <v>21</v>
      </c>
      <c r="D982" t="s">
        <v>28</v>
      </c>
      <c r="E982" t="s">
        <v>86</v>
      </c>
      <c r="F982" t="s">
        <v>20</v>
      </c>
      <c r="G982" t="s">
        <v>36</v>
      </c>
      <c r="H982">
        <v>22</v>
      </c>
      <c r="I982">
        <v>1035.5899999999999</v>
      </c>
      <c r="J982">
        <v>534.82000000000005</v>
      </c>
      <c r="K982">
        <f t="shared" si="90"/>
        <v>22782.98</v>
      </c>
      <c r="L982">
        <v>0</v>
      </c>
      <c r="M982">
        <f t="shared" si="91"/>
        <v>0</v>
      </c>
      <c r="N982">
        <f t="shared" si="92"/>
        <v>22782.98</v>
      </c>
      <c r="O982">
        <f t="shared" si="93"/>
        <v>11766.04</v>
      </c>
      <c r="P982">
        <f t="shared" si="94"/>
        <v>11016.939999999999</v>
      </c>
      <c r="Q982">
        <f t="shared" si="95"/>
        <v>48.356009617705844</v>
      </c>
      <c r="R982" t="s">
        <v>49</v>
      </c>
      <c r="S982" t="s">
        <v>45</v>
      </c>
      <c r="T982">
        <v>4.5999999999999996</v>
      </c>
    </row>
    <row r="983" spans="1:20">
      <c r="A983" t="s">
        <v>1051</v>
      </c>
      <c r="B983" s="3">
        <v>46011</v>
      </c>
      <c r="C983" t="s">
        <v>21</v>
      </c>
      <c r="D983" t="s">
        <v>32</v>
      </c>
      <c r="E983" t="s">
        <v>68</v>
      </c>
      <c r="F983" t="s">
        <v>22</v>
      </c>
      <c r="G983" t="s">
        <v>33</v>
      </c>
      <c r="H983">
        <v>4</v>
      </c>
      <c r="I983">
        <v>505.7</v>
      </c>
      <c r="J983">
        <v>326.58999999999997</v>
      </c>
      <c r="K983">
        <f t="shared" si="90"/>
        <v>2022.8</v>
      </c>
      <c r="L983">
        <v>0.15</v>
      </c>
      <c r="M983">
        <f t="shared" si="91"/>
        <v>303.41999999999996</v>
      </c>
      <c r="N983">
        <f t="shared" si="92"/>
        <v>1719.38</v>
      </c>
      <c r="O983">
        <f t="shared" si="93"/>
        <v>1306.3599999999999</v>
      </c>
      <c r="P983">
        <f t="shared" si="94"/>
        <v>413.02000000000021</v>
      </c>
      <c r="Q983">
        <f t="shared" si="95"/>
        <v>24.021449592294907</v>
      </c>
      <c r="R983" t="s">
        <v>49</v>
      </c>
      <c r="S983" t="s">
        <v>45</v>
      </c>
      <c r="T983">
        <v>4.5</v>
      </c>
    </row>
    <row r="984" spans="1:20">
      <c r="A984" t="s">
        <v>1052</v>
      </c>
      <c r="B984" s="3">
        <v>46011</v>
      </c>
      <c r="C984" t="s">
        <v>21</v>
      </c>
      <c r="D984" t="s">
        <v>28</v>
      </c>
      <c r="E984" t="s">
        <v>70</v>
      </c>
      <c r="F984" t="s">
        <v>22</v>
      </c>
      <c r="G984" t="s">
        <v>42</v>
      </c>
      <c r="H984">
        <v>23</v>
      </c>
      <c r="I984">
        <v>657.59</v>
      </c>
      <c r="J984">
        <v>512.04999999999995</v>
      </c>
      <c r="K984">
        <f t="shared" si="90"/>
        <v>15124.570000000002</v>
      </c>
      <c r="L984">
        <v>0.05</v>
      </c>
      <c r="M984">
        <f t="shared" si="91"/>
        <v>756.22850000000017</v>
      </c>
      <c r="N984">
        <f t="shared" si="92"/>
        <v>14368.341500000002</v>
      </c>
      <c r="O984">
        <f t="shared" si="93"/>
        <v>11777.15</v>
      </c>
      <c r="P984">
        <f t="shared" si="94"/>
        <v>2591.1915000000026</v>
      </c>
      <c r="Q984">
        <f t="shared" si="95"/>
        <v>18.034033364254338</v>
      </c>
      <c r="R984" t="s">
        <v>50</v>
      </c>
      <c r="S984" t="s">
        <v>41</v>
      </c>
      <c r="T984">
        <v>4.7</v>
      </c>
    </row>
    <row r="985" spans="1:20">
      <c r="A985" t="s">
        <v>1053</v>
      </c>
      <c r="B985" s="3">
        <v>46011</v>
      </c>
      <c r="C985" t="s">
        <v>21</v>
      </c>
      <c r="D985" t="s">
        <v>28</v>
      </c>
      <c r="E985" t="s">
        <v>70</v>
      </c>
      <c r="F985" t="s">
        <v>20</v>
      </c>
      <c r="G985" t="s">
        <v>34</v>
      </c>
      <c r="H985">
        <v>26</v>
      </c>
      <c r="I985">
        <v>298.94</v>
      </c>
      <c r="J985">
        <v>173.75</v>
      </c>
      <c r="K985">
        <f t="shared" si="90"/>
        <v>7772.44</v>
      </c>
      <c r="L985">
        <v>0.05</v>
      </c>
      <c r="M985">
        <f t="shared" si="91"/>
        <v>388.62200000000001</v>
      </c>
      <c r="N985">
        <f t="shared" si="92"/>
        <v>7383.8179999999993</v>
      </c>
      <c r="O985">
        <f t="shared" si="93"/>
        <v>4517.5</v>
      </c>
      <c r="P985">
        <f t="shared" si="94"/>
        <v>2866.3179999999993</v>
      </c>
      <c r="Q985">
        <f t="shared" si="95"/>
        <v>38.818914550710751</v>
      </c>
      <c r="R985" t="s">
        <v>50</v>
      </c>
      <c r="S985" t="s">
        <v>41</v>
      </c>
      <c r="T985">
        <v>3.3</v>
      </c>
    </row>
    <row r="986" spans="1:20">
      <c r="A986" t="s">
        <v>1054</v>
      </c>
      <c r="B986" s="3">
        <v>46012</v>
      </c>
      <c r="C986" t="s">
        <v>21</v>
      </c>
      <c r="D986" t="s">
        <v>30</v>
      </c>
      <c r="E986" t="s">
        <v>68</v>
      </c>
      <c r="F986" t="s">
        <v>24</v>
      </c>
      <c r="G986" t="s">
        <v>46</v>
      </c>
      <c r="H986">
        <v>11</v>
      </c>
      <c r="I986">
        <v>1123.8399999999999</v>
      </c>
      <c r="J986">
        <v>623.01</v>
      </c>
      <c r="K986">
        <f t="shared" si="90"/>
        <v>12362.24</v>
      </c>
      <c r="L986">
        <v>0</v>
      </c>
      <c r="M986">
        <f t="shared" si="91"/>
        <v>0</v>
      </c>
      <c r="N986">
        <f t="shared" si="92"/>
        <v>12362.24</v>
      </c>
      <c r="O986">
        <f t="shared" si="93"/>
        <v>6853.11</v>
      </c>
      <c r="P986">
        <f t="shared" si="94"/>
        <v>5509.13</v>
      </c>
      <c r="Q986">
        <f t="shared" si="95"/>
        <v>44.564172835990888</v>
      </c>
      <c r="R986" t="s">
        <v>50</v>
      </c>
      <c r="S986" t="s">
        <v>45</v>
      </c>
      <c r="T986">
        <v>4.3</v>
      </c>
    </row>
    <row r="987" spans="1:20">
      <c r="A987" t="s">
        <v>1055</v>
      </c>
      <c r="B987" s="3">
        <v>46015</v>
      </c>
      <c r="C987" t="s">
        <v>21</v>
      </c>
      <c r="D987" t="s">
        <v>32</v>
      </c>
      <c r="E987" t="s">
        <v>68</v>
      </c>
      <c r="F987" t="s">
        <v>24</v>
      </c>
      <c r="G987" t="s">
        <v>40</v>
      </c>
      <c r="H987">
        <v>37</v>
      </c>
      <c r="I987">
        <v>1197.7</v>
      </c>
      <c r="J987">
        <v>719.7</v>
      </c>
      <c r="K987">
        <f t="shared" si="90"/>
        <v>44314.9</v>
      </c>
      <c r="L987">
        <v>0</v>
      </c>
      <c r="M987">
        <f t="shared" si="91"/>
        <v>0</v>
      </c>
      <c r="N987">
        <f t="shared" si="92"/>
        <v>44314.9</v>
      </c>
      <c r="O987">
        <f t="shared" si="93"/>
        <v>26628.9</v>
      </c>
      <c r="P987">
        <f t="shared" si="94"/>
        <v>17686</v>
      </c>
      <c r="Q987">
        <f t="shared" si="95"/>
        <v>39.909827168740087</v>
      </c>
      <c r="R987" t="s">
        <v>51</v>
      </c>
      <c r="S987" t="s">
        <v>47</v>
      </c>
      <c r="T987">
        <v>3.3</v>
      </c>
    </row>
    <row r="988" spans="1:20">
      <c r="A988" t="s">
        <v>1056</v>
      </c>
      <c r="B988" s="3">
        <v>46016</v>
      </c>
      <c r="C988" t="s">
        <v>21</v>
      </c>
      <c r="D988" t="s">
        <v>30</v>
      </c>
      <c r="E988" t="s">
        <v>70</v>
      </c>
      <c r="F988" t="s">
        <v>20</v>
      </c>
      <c r="G988" t="s">
        <v>34</v>
      </c>
      <c r="H988">
        <v>6</v>
      </c>
      <c r="I988">
        <v>1241.3900000000001</v>
      </c>
      <c r="J988">
        <v>531.19000000000005</v>
      </c>
      <c r="K988">
        <f t="shared" si="90"/>
        <v>7448.34</v>
      </c>
      <c r="L988">
        <v>0.1</v>
      </c>
      <c r="M988">
        <f t="shared" si="91"/>
        <v>744.83400000000006</v>
      </c>
      <c r="N988">
        <f t="shared" si="92"/>
        <v>6703.5060000000003</v>
      </c>
      <c r="O988">
        <f t="shared" si="93"/>
        <v>3187.1400000000003</v>
      </c>
      <c r="P988">
        <f t="shared" si="94"/>
        <v>3516.366</v>
      </c>
      <c r="Q988">
        <f t="shared" si="95"/>
        <v>52.455625459274593</v>
      </c>
      <c r="R988" t="s">
        <v>49</v>
      </c>
      <c r="S988" t="s">
        <v>41</v>
      </c>
      <c r="T988">
        <v>4.7</v>
      </c>
    </row>
    <row r="989" spans="1:20">
      <c r="A989" t="s">
        <v>1057</v>
      </c>
      <c r="B989" s="3">
        <v>46017</v>
      </c>
      <c r="C989" t="s">
        <v>21</v>
      </c>
      <c r="D989" t="s">
        <v>26</v>
      </c>
      <c r="E989" t="s">
        <v>70</v>
      </c>
      <c r="F989" t="s">
        <v>22</v>
      </c>
      <c r="G989" t="s">
        <v>35</v>
      </c>
      <c r="H989">
        <v>22</v>
      </c>
      <c r="I989">
        <v>403.1</v>
      </c>
      <c r="J989">
        <v>287.42</v>
      </c>
      <c r="K989">
        <f t="shared" si="90"/>
        <v>8868.2000000000007</v>
      </c>
      <c r="L989">
        <v>0.05</v>
      </c>
      <c r="M989">
        <f t="shared" si="91"/>
        <v>443.41000000000008</v>
      </c>
      <c r="N989">
        <f t="shared" si="92"/>
        <v>8424.7900000000009</v>
      </c>
      <c r="O989">
        <f t="shared" si="93"/>
        <v>6323.2400000000007</v>
      </c>
      <c r="P989">
        <f t="shared" si="94"/>
        <v>2101.5500000000002</v>
      </c>
      <c r="Q989">
        <f t="shared" si="95"/>
        <v>24.944835420230056</v>
      </c>
      <c r="R989" t="s">
        <v>50</v>
      </c>
      <c r="S989" t="s">
        <v>43</v>
      </c>
      <c r="T989">
        <v>3.2</v>
      </c>
    </row>
    <row r="990" spans="1:20">
      <c r="A990" t="s">
        <v>1058</v>
      </c>
      <c r="B990" s="3">
        <v>46018</v>
      </c>
      <c r="C990" t="s">
        <v>21</v>
      </c>
      <c r="D990" t="s">
        <v>26</v>
      </c>
      <c r="E990" t="s">
        <v>70</v>
      </c>
      <c r="F990" t="s">
        <v>24</v>
      </c>
      <c r="G990" t="s">
        <v>29</v>
      </c>
      <c r="H990">
        <v>39</v>
      </c>
      <c r="I990">
        <v>1475.08</v>
      </c>
      <c r="J990">
        <v>959.86</v>
      </c>
      <c r="K990">
        <f t="shared" si="90"/>
        <v>57528.119999999995</v>
      </c>
      <c r="L990">
        <v>0.05</v>
      </c>
      <c r="M990">
        <f t="shared" si="91"/>
        <v>2876.4059999999999</v>
      </c>
      <c r="N990">
        <f t="shared" si="92"/>
        <v>54651.713999999993</v>
      </c>
      <c r="O990">
        <f t="shared" si="93"/>
        <v>37434.54</v>
      </c>
      <c r="P990">
        <f t="shared" si="94"/>
        <v>17217.173999999992</v>
      </c>
      <c r="Q990">
        <f t="shared" si="95"/>
        <v>31.503447449058953</v>
      </c>
      <c r="R990" t="s">
        <v>50</v>
      </c>
      <c r="S990" t="s">
        <v>41</v>
      </c>
      <c r="T990">
        <v>3</v>
      </c>
    </row>
    <row r="991" spans="1:20">
      <c r="A991" t="s">
        <v>1059</v>
      </c>
      <c r="B991" s="3">
        <v>46018</v>
      </c>
      <c r="C991" t="s">
        <v>21</v>
      </c>
      <c r="D991" t="s">
        <v>30</v>
      </c>
      <c r="E991" t="s">
        <v>70</v>
      </c>
      <c r="F991" t="s">
        <v>24</v>
      </c>
      <c r="G991" t="s">
        <v>40</v>
      </c>
      <c r="H991">
        <v>10</v>
      </c>
      <c r="I991">
        <v>1379.41</v>
      </c>
      <c r="J991">
        <v>739.61</v>
      </c>
      <c r="K991">
        <f t="shared" si="90"/>
        <v>13794.1</v>
      </c>
      <c r="L991">
        <v>0.1</v>
      </c>
      <c r="M991">
        <f t="shared" si="91"/>
        <v>1379.41</v>
      </c>
      <c r="N991">
        <f t="shared" si="92"/>
        <v>12414.69</v>
      </c>
      <c r="O991">
        <f t="shared" si="93"/>
        <v>7396.1</v>
      </c>
      <c r="P991">
        <f t="shared" si="94"/>
        <v>5018.59</v>
      </c>
      <c r="Q991">
        <f t="shared" si="95"/>
        <v>40.42460987749191</v>
      </c>
      <c r="R991" t="s">
        <v>51</v>
      </c>
      <c r="S991" t="s">
        <v>47</v>
      </c>
      <c r="T991">
        <v>4.2</v>
      </c>
    </row>
    <row r="992" spans="1:20">
      <c r="A992" t="s">
        <v>1060</v>
      </c>
      <c r="B992" s="3">
        <v>46019</v>
      </c>
      <c r="C992" t="s">
        <v>21</v>
      </c>
      <c r="D992" t="s">
        <v>30</v>
      </c>
      <c r="E992" t="s">
        <v>86</v>
      </c>
      <c r="F992" t="s">
        <v>24</v>
      </c>
      <c r="G992" t="s">
        <v>40</v>
      </c>
      <c r="H992">
        <v>47</v>
      </c>
      <c r="I992">
        <v>913.47</v>
      </c>
      <c r="J992">
        <v>493.38</v>
      </c>
      <c r="K992">
        <f t="shared" si="90"/>
        <v>42933.090000000004</v>
      </c>
      <c r="L992">
        <v>0.15</v>
      </c>
      <c r="M992">
        <f t="shared" si="91"/>
        <v>6439.9635000000007</v>
      </c>
      <c r="N992">
        <f t="shared" si="92"/>
        <v>36493.126500000006</v>
      </c>
      <c r="O992">
        <f t="shared" si="93"/>
        <v>23188.86</v>
      </c>
      <c r="P992">
        <f t="shared" si="94"/>
        <v>13304.266500000005</v>
      </c>
      <c r="Q992">
        <f t="shared" si="95"/>
        <v>36.45691059109447</v>
      </c>
      <c r="R992" t="s">
        <v>49</v>
      </c>
      <c r="S992" t="s">
        <v>41</v>
      </c>
      <c r="T992">
        <v>3.6</v>
      </c>
    </row>
    <row r="993" spans="1:20">
      <c r="A993" t="s">
        <v>1061</v>
      </c>
      <c r="B993" s="3">
        <v>46020</v>
      </c>
      <c r="C993" t="s">
        <v>21</v>
      </c>
      <c r="D993" t="s">
        <v>28</v>
      </c>
      <c r="E993" t="s">
        <v>68</v>
      </c>
      <c r="F993" t="s">
        <v>22</v>
      </c>
      <c r="G993" t="s">
        <v>35</v>
      </c>
      <c r="H993">
        <v>44</v>
      </c>
      <c r="I993">
        <v>772.25</v>
      </c>
      <c r="J993">
        <v>510.5</v>
      </c>
      <c r="K993">
        <f t="shared" si="90"/>
        <v>33979</v>
      </c>
      <c r="L993">
        <v>0</v>
      </c>
      <c r="M993">
        <f t="shared" si="91"/>
        <v>0</v>
      </c>
      <c r="N993">
        <f t="shared" si="92"/>
        <v>33979</v>
      </c>
      <c r="O993">
        <f t="shared" si="93"/>
        <v>22462</v>
      </c>
      <c r="P993">
        <f t="shared" si="94"/>
        <v>11517</v>
      </c>
      <c r="Q993">
        <f t="shared" si="95"/>
        <v>33.894464227905466</v>
      </c>
      <c r="R993" t="s">
        <v>50</v>
      </c>
      <c r="S993" t="s">
        <v>41</v>
      </c>
      <c r="T993">
        <v>3.5</v>
      </c>
    </row>
    <row r="994" spans="1:20">
      <c r="A994" t="s">
        <v>1062</v>
      </c>
      <c r="B994" s="3">
        <v>46020</v>
      </c>
      <c r="C994" t="s">
        <v>21</v>
      </c>
      <c r="D994" t="s">
        <v>28</v>
      </c>
      <c r="E994" t="s">
        <v>68</v>
      </c>
      <c r="F994" t="s">
        <v>24</v>
      </c>
      <c r="G994" t="s">
        <v>29</v>
      </c>
      <c r="H994">
        <v>1</v>
      </c>
      <c r="I994">
        <v>500.13</v>
      </c>
      <c r="J994">
        <v>322.87</v>
      </c>
      <c r="K994">
        <f t="shared" si="90"/>
        <v>500.13</v>
      </c>
      <c r="L994">
        <v>0.1</v>
      </c>
      <c r="M994">
        <f t="shared" si="91"/>
        <v>50.013000000000005</v>
      </c>
      <c r="N994">
        <f t="shared" si="92"/>
        <v>450.11699999999996</v>
      </c>
      <c r="O994">
        <f t="shared" si="93"/>
        <v>322.87</v>
      </c>
      <c r="P994">
        <f t="shared" si="94"/>
        <v>127.24699999999996</v>
      </c>
      <c r="Q994">
        <f t="shared" si="95"/>
        <v>28.269760973258055</v>
      </c>
      <c r="R994" t="s">
        <v>50</v>
      </c>
      <c r="S994" t="s">
        <v>45</v>
      </c>
      <c r="T994">
        <v>3.5</v>
      </c>
    </row>
    <row r="995" spans="1:20">
      <c r="A995" t="s">
        <v>1063</v>
      </c>
      <c r="B995" s="3">
        <v>46021</v>
      </c>
      <c r="C995" t="s">
        <v>21</v>
      </c>
      <c r="D995" t="s">
        <v>26</v>
      </c>
      <c r="E995" t="s">
        <v>70</v>
      </c>
      <c r="F995" t="s">
        <v>24</v>
      </c>
      <c r="G995" t="s">
        <v>40</v>
      </c>
      <c r="H995">
        <v>50</v>
      </c>
      <c r="I995">
        <v>1299.68</v>
      </c>
      <c r="J995">
        <v>756.35</v>
      </c>
      <c r="K995">
        <f t="shared" si="90"/>
        <v>64984</v>
      </c>
      <c r="L995">
        <v>0</v>
      </c>
      <c r="M995">
        <f t="shared" si="91"/>
        <v>0</v>
      </c>
      <c r="N995">
        <f t="shared" si="92"/>
        <v>64984</v>
      </c>
      <c r="O995">
        <f t="shared" si="93"/>
        <v>37817.5</v>
      </c>
      <c r="P995">
        <f t="shared" si="94"/>
        <v>27166.5</v>
      </c>
      <c r="Q995">
        <f t="shared" si="95"/>
        <v>41.804905822971811</v>
      </c>
      <c r="R995" t="s">
        <v>49</v>
      </c>
      <c r="S995" t="s">
        <v>41</v>
      </c>
      <c r="T995">
        <v>4.2</v>
      </c>
    </row>
    <row r="996" spans="1:20">
      <c r="A996" t="s">
        <v>1064</v>
      </c>
      <c r="B996" s="3">
        <v>46021</v>
      </c>
      <c r="C996" t="s">
        <v>21</v>
      </c>
      <c r="D996" t="s">
        <v>30</v>
      </c>
      <c r="E996" t="s">
        <v>68</v>
      </c>
      <c r="F996" t="s">
        <v>24</v>
      </c>
      <c r="G996" t="s">
        <v>29</v>
      </c>
      <c r="H996">
        <v>47</v>
      </c>
      <c r="I996">
        <v>849.09</v>
      </c>
      <c r="J996">
        <v>533.05999999999995</v>
      </c>
      <c r="K996">
        <f t="shared" si="90"/>
        <v>39907.230000000003</v>
      </c>
      <c r="L996">
        <v>0.15</v>
      </c>
      <c r="M996">
        <f t="shared" si="91"/>
        <v>5986.0844999999999</v>
      </c>
      <c r="N996">
        <f t="shared" si="92"/>
        <v>33921.145500000006</v>
      </c>
      <c r="O996">
        <f t="shared" si="93"/>
        <v>25053.819999999996</v>
      </c>
      <c r="P996">
        <f t="shared" si="94"/>
        <v>8867.3255000000099</v>
      </c>
      <c r="Q996">
        <f t="shared" si="95"/>
        <v>26.140996624067451</v>
      </c>
      <c r="R996" t="s">
        <v>49</v>
      </c>
      <c r="S996" t="s">
        <v>43</v>
      </c>
      <c r="T996">
        <v>3.2</v>
      </c>
    </row>
    <row r="997" spans="1:20">
      <c r="A997" t="s">
        <v>1065</v>
      </c>
      <c r="B997" s="3">
        <v>46021</v>
      </c>
      <c r="C997" t="s">
        <v>21</v>
      </c>
      <c r="D997" t="s">
        <v>30</v>
      </c>
      <c r="E997" t="s">
        <v>86</v>
      </c>
      <c r="F997" t="s">
        <v>23</v>
      </c>
      <c r="G997" t="s">
        <v>37</v>
      </c>
      <c r="H997">
        <v>49</v>
      </c>
      <c r="I997">
        <v>337.91</v>
      </c>
      <c r="J997">
        <v>282.58</v>
      </c>
      <c r="K997">
        <f t="shared" si="90"/>
        <v>16557.59</v>
      </c>
      <c r="L997">
        <v>0.1</v>
      </c>
      <c r="M997">
        <f t="shared" si="91"/>
        <v>1655.759</v>
      </c>
      <c r="N997">
        <f t="shared" si="92"/>
        <v>14901.831</v>
      </c>
      <c r="O997">
        <f t="shared" si="93"/>
        <v>13846.42</v>
      </c>
      <c r="P997">
        <f t="shared" si="94"/>
        <v>1055.4110000000001</v>
      </c>
      <c r="Q997">
        <f t="shared" si="95"/>
        <v>7.0824249718038006</v>
      </c>
      <c r="R997" t="s">
        <v>51</v>
      </c>
      <c r="S997" t="s">
        <v>41</v>
      </c>
      <c r="T997">
        <v>3.8</v>
      </c>
    </row>
    <row r="998" spans="1:20">
      <c r="A998" t="s">
        <v>1066</v>
      </c>
      <c r="B998" s="3">
        <v>46021</v>
      </c>
      <c r="C998" t="s">
        <v>21</v>
      </c>
      <c r="D998" t="s">
        <v>30</v>
      </c>
      <c r="E998" t="s">
        <v>68</v>
      </c>
      <c r="F998" t="s">
        <v>20</v>
      </c>
      <c r="G998" t="s">
        <v>34</v>
      </c>
      <c r="H998">
        <v>12</v>
      </c>
      <c r="I998">
        <v>1383.28</v>
      </c>
      <c r="J998">
        <v>512.74</v>
      </c>
      <c r="K998">
        <f t="shared" si="90"/>
        <v>16599.36</v>
      </c>
      <c r="L998">
        <v>0.25</v>
      </c>
      <c r="M998">
        <f t="shared" si="91"/>
        <v>4149.84</v>
      </c>
      <c r="N998">
        <f t="shared" si="92"/>
        <v>12449.52</v>
      </c>
      <c r="O998">
        <f t="shared" si="93"/>
        <v>6152.88</v>
      </c>
      <c r="P998">
        <f t="shared" si="94"/>
        <v>6296.64</v>
      </c>
      <c r="Q998">
        <f t="shared" si="95"/>
        <v>50.577371657702464</v>
      </c>
      <c r="R998" t="s">
        <v>49</v>
      </c>
      <c r="S998" t="s">
        <v>41</v>
      </c>
      <c r="T998">
        <v>3.2</v>
      </c>
    </row>
    <row r="999" spans="1:20">
      <c r="A999" t="s">
        <v>1067</v>
      </c>
      <c r="B999" s="3">
        <v>46021</v>
      </c>
      <c r="C999" t="s">
        <v>21</v>
      </c>
      <c r="D999" t="s">
        <v>28</v>
      </c>
      <c r="E999" t="s">
        <v>68</v>
      </c>
      <c r="F999" t="s">
        <v>24</v>
      </c>
      <c r="G999" t="s">
        <v>29</v>
      </c>
      <c r="H999">
        <v>4</v>
      </c>
      <c r="I999">
        <v>1312.03</v>
      </c>
      <c r="J999">
        <v>882.52</v>
      </c>
      <c r="K999">
        <f t="shared" si="90"/>
        <v>5248.12</v>
      </c>
      <c r="L999">
        <v>0</v>
      </c>
      <c r="M999">
        <f t="shared" si="91"/>
        <v>0</v>
      </c>
      <c r="N999">
        <f t="shared" si="92"/>
        <v>5248.12</v>
      </c>
      <c r="O999">
        <f t="shared" si="93"/>
        <v>3530.08</v>
      </c>
      <c r="P999">
        <f t="shared" si="94"/>
        <v>1718.04</v>
      </c>
      <c r="Q999">
        <f t="shared" si="95"/>
        <v>32.736294139615715</v>
      </c>
      <c r="R999" t="s">
        <v>49</v>
      </c>
      <c r="S999" t="s">
        <v>41</v>
      </c>
      <c r="T999">
        <v>3</v>
      </c>
    </row>
    <row r="1000" spans="1:20">
      <c r="A1000" t="s">
        <v>1068</v>
      </c>
      <c r="B1000" s="3">
        <v>46021</v>
      </c>
      <c r="C1000" t="s">
        <v>21</v>
      </c>
      <c r="D1000" t="s">
        <v>30</v>
      </c>
      <c r="E1000" t="s">
        <v>70</v>
      </c>
      <c r="F1000" t="s">
        <v>23</v>
      </c>
      <c r="G1000" t="s">
        <v>37</v>
      </c>
      <c r="H1000">
        <v>37</v>
      </c>
      <c r="I1000">
        <v>1092.98</v>
      </c>
      <c r="J1000">
        <v>773.24</v>
      </c>
      <c r="K1000">
        <f t="shared" si="90"/>
        <v>40440.26</v>
      </c>
      <c r="L1000">
        <v>0</v>
      </c>
      <c r="M1000">
        <f t="shared" si="91"/>
        <v>0</v>
      </c>
      <c r="N1000">
        <f t="shared" si="92"/>
        <v>40440.26</v>
      </c>
      <c r="O1000">
        <f t="shared" si="93"/>
        <v>28609.88</v>
      </c>
      <c r="P1000">
        <f t="shared" si="94"/>
        <v>11830.380000000001</v>
      </c>
      <c r="Q1000">
        <f t="shared" si="95"/>
        <v>29.253966220790868</v>
      </c>
      <c r="R1000" t="s">
        <v>49</v>
      </c>
      <c r="S1000" t="s">
        <v>43</v>
      </c>
      <c r="T1000">
        <v>3.3</v>
      </c>
    </row>
    <row r="1001" spans="1:20">
      <c r="A1001" t="s">
        <v>1069</v>
      </c>
      <c r="B1001" s="3">
        <v>46022</v>
      </c>
      <c r="C1001" t="s">
        <v>21</v>
      </c>
      <c r="D1001" t="s">
        <v>32</v>
      </c>
      <c r="E1001" t="s">
        <v>68</v>
      </c>
      <c r="F1001" t="s">
        <v>24</v>
      </c>
      <c r="G1001" t="s">
        <v>40</v>
      </c>
      <c r="H1001">
        <v>10</v>
      </c>
      <c r="I1001">
        <v>251.17</v>
      </c>
      <c r="J1001">
        <v>153.41</v>
      </c>
      <c r="K1001">
        <f t="shared" si="90"/>
        <v>2511.6999999999998</v>
      </c>
      <c r="L1001">
        <v>0</v>
      </c>
      <c r="M1001">
        <f t="shared" si="91"/>
        <v>0</v>
      </c>
      <c r="N1001">
        <f t="shared" si="92"/>
        <v>2511.6999999999998</v>
      </c>
      <c r="O1001">
        <f t="shared" si="93"/>
        <v>1534.1</v>
      </c>
      <c r="P1001">
        <f t="shared" si="94"/>
        <v>977.59999999999991</v>
      </c>
      <c r="Q1001">
        <f t="shared" si="95"/>
        <v>38.921845761834611</v>
      </c>
      <c r="R1001" t="s">
        <v>51</v>
      </c>
      <c r="S1001" t="s">
        <v>41</v>
      </c>
      <c r="T1001">
        <v>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pane ySplit="4" topLeftCell="A5" activePane="bottomLeft" state="frozen"/>
      <selection pane="bottomLeft" activeCell="B12" sqref="B12"/>
    </sheetView>
  </sheetViews>
  <sheetFormatPr defaultRowHeight="13.8"/>
  <cols>
    <col min="1" max="1" width="28" customWidth="1"/>
    <col min="2" max="2" width="70" customWidth="1"/>
    <col min="3" max="3" width="32" customWidth="1"/>
  </cols>
  <sheetData>
    <row r="1" spans="1:3" ht="34.049999999999997" customHeight="1">
      <c r="A1" s="6" t="s">
        <v>1070</v>
      </c>
      <c r="B1" s="6"/>
      <c r="C1" s="6"/>
    </row>
    <row r="2" spans="1:3" ht="27" customHeight="1">
      <c r="A2" t="s">
        <v>1071</v>
      </c>
      <c r="B2" t="s">
        <v>1072</v>
      </c>
    </row>
    <row r="3" spans="1:3" ht="27" customHeight="1">
      <c r="A3" t="s">
        <v>1073</v>
      </c>
      <c r="B3" t="s">
        <v>1074</v>
      </c>
    </row>
    <row r="4" spans="1:3" ht="28.05" customHeight="1">
      <c r="A4" s="7" t="s">
        <v>1075</v>
      </c>
      <c r="B4" s="7" t="s">
        <v>1076</v>
      </c>
      <c r="C4" s="7" t="s">
        <v>1077</v>
      </c>
    </row>
    <row r="5" spans="1:3">
      <c r="A5" s="8" t="s">
        <v>15</v>
      </c>
      <c r="B5" s="8" t="e">
        <f>Units Sold * Unit Price</f>
        <v>#NAME?</v>
      </c>
      <c r="C5" s="8" t="s">
        <v>1078</v>
      </c>
    </row>
    <row r="6" spans="1:3">
      <c r="A6" t="s">
        <v>1079</v>
      </c>
      <c r="B6" t="e">
        <f>Gross Sales * Discount%</f>
        <v>#NAME?</v>
      </c>
      <c r="C6" t="s">
        <v>1080</v>
      </c>
    </row>
    <row r="7" spans="1:3">
      <c r="A7" s="8" t="s">
        <v>14</v>
      </c>
      <c r="B7" s="8" t="e">
        <v>#NAME?</v>
      </c>
      <c r="C7" s="8" t="s">
        <v>1081</v>
      </c>
    </row>
    <row r="8" spans="1:3">
      <c r="A8" t="s">
        <v>62</v>
      </c>
      <c r="B8" t="e">
        <f>Units Sold * Unit Cost</f>
        <v>#NAME?</v>
      </c>
      <c r="C8" t="s">
        <v>1082</v>
      </c>
    </row>
    <row r="9" spans="1:3">
      <c r="A9" s="8" t="s">
        <v>16</v>
      </c>
      <c r="B9" s="8" t="e">
        <v>#NAME?</v>
      </c>
      <c r="C9" s="8" t="s">
        <v>1083</v>
      </c>
    </row>
    <row r="10" spans="1:3">
      <c r="A10" t="s">
        <v>1084</v>
      </c>
      <c r="B10" t="e">
        <f>Profit / Net Sales</f>
        <v>#NAME?</v>
      </c>
      <c r="C10" t="s">
        <v>1085</v>
      </c>
    </row>
    <row r="11" spans="1:3">
      <c r="A11" s="8" t="s">
        <v>1086</v>
      </c>
      <c r="B11" s="8" t="e">
        <f>SUMIF(Year, selected Year, Net Sales)</f>
        <v>#NAME?</v>
      </c>
      <c r="C11" s="8" t="s">
        <v>1087</v>
      </c>
    </row>
    <row r="12" spans="1:3">
      <c r="A12" t="s">
        <v>1088</v>
      </c>
      <c r="B12" t="e">
        <f>SUMIF(Product, selected Product, Net Sales)</f>
        <v>#NAME?</v>
      </c>
      <c r="C12" t="s">
        <v>1089</v>
      </c>
    </row>
    <row r="13" spans="1:3">
      <c r="A13" s="8" t="s">
        <v>1090</v>
      </c>
      <c r="B13" s="8" t="s">
        <v>1091</v>
      </c>
      <c r="C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Analysis</vt:lpstr>
      <vt:lpstr>Sales Data</vt:lpstr>
      <vt:lpstr>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Ditya Gupta</dc:creator>
  <cp:lastModifiedBy>ditya0101gupta@gmail.com</cp:lastModifiedBy>
  <dcterms:created xsi:type="dcterms:W3CDTF">2026-10-16T15:02:53Z</dcterms:created>
  <dcterms:modified xsi:type="dcterms:W3CDTF">2026-10-16T15:09:06Z</dcterms:modified>
</cp:coreProperties>
</file>